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359AE33D-12AC-48BA-850A-5D0A0CE64AC7}" xr6:coauthVersionLast="47" xr6:coauthVersionMax="47" xr10:uidLastSave="{00000000-0000-0000-0000-000000000000}"/>
  <bookViews>
    <workbookView xWindow="-108" yWindow="-108" windowWidth="23256" windowHeight="12456" activeTab="5" xr2:uid="{7C7796F9-E9F8-4E1D-870A-44F761D5E2A0}"/>
  </bookViews>
  <sheets>
    <sheet name="question6" sheetId="3" r:id="rId1"/>
    <sheet name="q7" sheetId="7" r:id="rId2"/>
    <sheet name="question7" sheetId="8" r:id="rId3"/>
    <sheet name="question8" sheetId="1" r:id="rId4"/>
    <sheet name="question9" sheetId="2" r:id="rId5"/>
    <sheet name="question10" sheetId="4" r:id="rId6"/>
    <sheet name="q10" sheetId="6" r:id="rId7"/>
  </sheets>
  <definedNames>
    <definedName name="_xlnm.Print_Area" localSheetId="4">question9!$A$1:$N$50</definedName>
    <definedName name="Slicer_Accident_ID">#N/A</definedName>
    <definedName name="Slicer_Casualties">#N/A</definedName>
    <definedName name="Slicer_Cause">#N/A</definedName>
    <definedName name="Slicer_Location">#N/A</definedName>
    <definedName name="Slicer_Road_Condition">#N/A</definedName>
    <definedName name="Slicer_Severity">#N/A</definedName>
    <definedName name="Slicer_Vehicle_Type">#N/A</definedName>
    <definedName name="Slicer_Weather_Condition">#N/A</definedName>
  </definedNames>
  <calcPr calcId="181029"/>
  <pivotCaches>
    <pivotCache cacheId="0" r:id="rId8"/>
    <pivotCache cacheId="1" r:id="rId9"/>
    <pivotCache cacheId="2"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3" l="1"/>
  <c r="P101" i="4"/>
  <c r="O101" i="4"/>
  <c r="P100" i="4"/>
  <c r="O100" i="4"/>
  <c r="P99" i="4"/>
  <c r="O99" i="4"/>
  <c r="P98" i="4"/>
  <c r="O98" i="4"/>
  <c r="P97" i="4"/>
  <c r="O97" i="4"/>
  <c r="P96" i="4"/>
  <c r="O96" i="4"/>
  <c r="P95" i="4"/>
  <c r="O95" i="4"/>
  <c r="P94" i="4"/>
  <c r="O94" i="4"/>
  <c r="P93" i="4"/>
  <c r="O93" i="4"/>
  <c r="P92" i="4"/>
  <c r="O92" i="4"/>
  <c r="P91" i="4"/>
  <c r="O91" i="4"/>
  <c r="P90" i="4"/>
  <c r="O90" i="4"/>
  <c r="P89" i="4"/>
  <c r="O89" i="4"/>
  <c r="P88" i="4"/>
  <c r="O88" i="4"/>
  <c r="P87" i="4"/>
  <c r="O87" i="4"/>
  <c r="P86" i="4"/>
  <c r="O86" i="4"/>
  <c r="P85" i="4"/>
  <c r="O85" i="4"/>
  <c r="P84" i="4"/>
  <c r="O84" i="4"/>
  <c r="P83" i="4"/>
  <c r="O83" i="4"/>
  <c r="P82" i="4"/>
  <c r="O82" i="4"/>
  <c r="P81" i="4"/>
  <c r="O81" i="4"/>
  <c r="P80" i="4"/>
  <c r="O80" i="4"/>
  <c r="P79" i="4"/>
  <c r="O79" i="4"/>
  <c r="P78" i="4"/>
  <c r="O78" i="4"/>
  <c r="P77" i="4"/>
  <c r="O77" i="4"/>
  <c r="P76" i="4"/>
  <c r="O76" i="4"/>
  <c r="P75" i="4"/>
  <c r="O75" i="4"/>
  <c r="P74" i="4"/>
  <c r="O74" i="4"/>
  <c r="P73" i="4"/>
  <c r="O73" i="4"/>
  <c r="P72" i="4"/>
  <c r="O72" i="4"/>
  <c r="P71" i="4"/>
  <c r="O71" i="4"/>
  <c r="P70" i="4"/>
  <c r="O70" i="4"/>
  <c r="P69" i="4"/>
  <c r="O69" i="4"/>
  <c r="P68" i="4"/>
  <c r="O68" i="4"/>
  <c r="P67" i="4"/>
  <c r="O67" i="4"/>
  <c r="P66" i="4"/>
  <c r="O66" i="4"/>
  <c r="P65" i="4"/>
  <c r="O65" i="4"/>
  <c r="P64" i="4"/>
  <c r="O64" i="4"/>
  <c r="P63" i="4"/>
  <c r="O63" i="4"/>
  <c r="P62" i="4"/>
  <c r="O62" i="4"/>
  <c r="P61" i="4"/>
  <c r="O61" i="4"/>
  <c r="P60" i="4"/>
  <c r="O60" i="4"/>
  <c r="P59" i="4"/>
  <c r="O59" i="4"/>
  <c r="P58" i="4"/>
  <c r="O58" i="4"/>
  <c r="P57" i="4"/>
  <c r="O57" i="4"/>
  <c r="P56" i="4"/>
  <c r="O56" i="4"/>
  <c r="P55" i="4"/>
  <c r="O55" i="4"/>
  <c r="P54" i="4"/>
  <c r="O54" i="4"/>
  <c r="P53" i="4"/>
  <c r="O53" i="4"/>
  <c r="P52" i="4"/>
  <c r="O52" i="4"/>
  <c r="P51" i="4"/>
  <c r="O51" i="4"/>
  <c r="P50" i="4"/>
  <c r="O50" i="4"/>
  <c r="P49" i="4"/>
  <c r="O49" i="4"/>
  <c r="P48" i="4"/>
  <c r="O48" i="4"/>
  <c r="P47" i="4"/>
  <c r="O47" i="4"/>
  <c r="P46" i="4"/>
  <c r="O46" i="4"/>
  <c r="P45" i="4"/>
  <c r="O45" i="4"/>
  <c r="P44" i="4"/>
  <c r="O44" i="4"/>
  <c r="P43" i="4"/>
  <c r="O43" i="4"/>
  <c r="P42" i="4"/>
  <c r="O42" i="4"/>
  <c r="P41" i="4"/>
  <c r="O41" i="4"/>
  <c r="P40" i="4"/>
  <c r="O40" i="4"/>
  <c r="P39" i="4"/>
  <c r="O39" i="4"/>
  <c r="P38" i="4"/>
  <c r="O38" i="4"/>
  <c r="P37" i="4"/>
  <c r="O37" i="4"/>
  <c r="P36" i="4"/>
  <c r="O36" i="4"/>
  <c r="P35" i="4"/>
  <c r="O35" i="4"/>
  <c r="P34" i="4"/>
  <c r="O34" i="4"/>
  <c r="P33" i="4"/>
  <c r="O33" i="4"/>
  <c r="P32" i="4"/>
  <c r="O32" i="4"/>
  <c r="P31" i="4"/>
  <c r="O31" i="4"/>
  <c r="P30" i="4"/>
  <c r="O30" i="4"/>
  <c r="P29" i="4"/>
  <c r="O29" i="4"/>
  <c r="P28" i="4"/>
  <c r="O28" i="4"/>
  <c r="P27" i="4"/>
  <c r="O27" i="4"/>
  <c r="P26" i="4"/>
  <c r="O26" i="4"/>
  <c r="P25" i="4"/>
  <c r="O25" i="4"/>
  <c r="P24" i="4"/>
  <c r="O24" i="4"/>
  <c r="P23" i="4"/>
  <c r="O23" i="4"/>
  <c r="P22" i="4"/>
  <c r="O22" i="4"/>
  <c r="P21" i="4"/>
  <c r="O21" i="4"/>
  <c r="P20" i="4"/>
  <c r="O20" i="4"/>
  <c r="P19" i="4"/>
  <c r="O19" i="4"/>
  <c r="P18" i="4"/>
  <c r="O18" i="4"/>
  <c r="P17" i="4"/>
  <c r="O17" i="4"/>
  <c r="P16" i="4"/>
  <c r="O16" i="4"/>
  <c r="P15" i="4"/>
  <c r="O15" i="4"/>
  <c r="P14" i="4"/>
  <c r="O14" i="4"/>
  <c r="P13" i="4"/>
  <c r="O13" i="4"/>
  <c r="P12" i="4"/>
  <c r="O12" i="4"/>
  <c r="P11" i="4"/>
  <c r="O11" i="4"/>
  <c r="P10" i="4"/>
  <c r="O10" i="4"/>
  <c r="P9" i="4"/>
  <c r="O9" i="4"/>
  <c r="P8" i="4"/>
  <c r="O8" i="4"/>
  <c r="P7" i="4"/>
  <c r="O7" i="4"/>
  <c r="P6" i="4"/>
  <c r="O6" i="4"/>
  <c r="P5" i="4"/>
  <c r="O5" i="4"/>
  <c r="P4" i="4"/>
  <c r="O4" i="4"/>
  <c r="P3" i="4"/>
  <c r="O3" i="4"/>
  <c r="P2" i="4"/>
  <c r="O2" i="4"/>
  <c r="N2" i="2"/>
  <c r="E9" i="3"/>
  <c r="E8" i="3"/>
  <c r="E7" i="3"/>
  <c r="E6" i="3"/>
  <c r="E5" i="3"/>
  <c r="E4" i="3"/>
  <c r="E3" i="3"/>
</calcChain>
</file>

<file path=xl/sharedStrings.xml><?xml version="1.0" encoding="utf-8"?>
<sst xmlns="http://schemas.openxmlformats.org/spreadsheetml/2006/main" count="2033" uniqueCount="461">
  <si>
    <t>Product ID</t>
  </si>
  <si>
    <t>Product Name</t>
  </si>
  <si>
    <t>Category</t>
  </si>
  <si>
    <t>Stock Level</t>
  </si>
  <si>
    <t>P101</t>
  </si>
  <si>
    <t>Laptop</t>
  </si>
  <si>
    <t>Electronics</t>
  </si>
  <si>
    <t>P102</t>
  </si>
  <si>
    <t>Mouse</t>
  </si>
  <si>
    <t>P103</t>
  </si>
  <si>
    <t>Keyboard</t>
  </si>
  <si>
    <t>P104</t>
  </si>
  <si>
    <t>Printer</t>
  </si>
  <si>
    <t>P105</t>
  </si>
  <si>
    <t>Chair</t>
  </si>
  <si>
    <t>Furniture</t>
  </si>
  <si>
    <t>P106</t>
  </si>
  <si>
    <t>Table</t>
  </si>
  <si>
    <t>P107</t>
  </si>
  <si>
    <t>Pen</t>
  </si>
  <si>
    <t>Stationery</t>
  </si>
  <si>
    <t>P108</t>
  </si>
  <si>
    <t>Notebook</t>
  </si>
  <si>
    <t>P109</t>
  </si>
  <si>
    <t>Marker</t>
  </si>
  <si>
    <t>P110</t>
  </si>
  <si>
    <t>Headphones</t>
  </si>
  <si>
    <t>Order ID</t>
  </si>
  <si>
    <t>Date</t>
  </si>
  <si>
    <t>Customer Name</t>
  </si>
  <si>
    <t>Region</t>
  </si>
  <si>
    <t>Product Category</t>
  </si>
  <si>
    <t>Quantity</t>
  </si>
  <si>
    <t>Unit Price (?)</t>
  </si>
  <si>
    <t>Total Sales (?)</t>
  </si>
  <si>
    <t>Profit Margin (%)</t>
  </si>
  <si>
    <t>Customer Age</t>
  </si>
  <si>
    <t>Payment Mode</t>
  </si>
  <si>
    <t>Rahul Sharma</t>
  </si>
  <si>
    <t>North India</t>
  </si>
  <si>
    <t>Smartwatch</t>
  </si>
  <si>
    <t>Credit Card</t>
  </si>
  <si>
    <t>Amit Verma</t>
  </si>
  <si>
    <t>West India</t>
  </si>
  <si>
    <t>Home Decor</t>
  </si>
  <si>
    <t>Wall Clock</t>
  </si>
  <si>
    <t>COD</t>
  </si>
  <si>
    <t>Sneha Kapoor</t>
  </si>
  <si>
    <t>East India</t>
  </si>
  <si>
    <t>Bluetooth Speaker</t>
  </si>
  <si>
    <t>NetBanking</t>
  </si>
  <si>
    <t>Rajesh Kumar</t>
  </si>
  <si>
    <t>Fashion</t>
  </si>
  <si>
    <t>Jeans</t>
  </si>
  <si>
    <t>Priya Singh</t>
  </si>
  <si>
    <t>South India</t>
  </si>
  <si>
    <t>UPI</t>
  </si>
  <si>
    <t>Karan Malhotra</t>
  </si>
  <si>
    <t>Sofa Set</t>
  </si>
  <si>
    <t>Neha Gupta</t>
  </si>
  <si>
    <t>Dress</t>
  </si>
  <si>
    <t>Vikram Patel</t>
  </si>
  <si>
    <t>Smartphone</t>
  </si>
  <si>
    <t>Ayesha Kapoor</t>
  </si>
  <si>
    <t>Dining Table Set</t>
  </si>
  <si>
    <t>Amitabh Verma</t>
  </si>
  <si>
    <t>Leather Jacket</t>
  </si>
  <si>
    <t>Sneha Gupta</t>
  </si>
  <si>
    <t>Nikhil Kumar</t>
  </si>
  <si>
    <t>Floor Lamp</t>
  </si>
  <si>
    <t>Meera Sharma</t>
  </si>
  <si>
    <t>Sneakers</t>
  </si>
  <si>
    <t>Aditya Verma</t>
  </si>
  <si>
    <t>Gaming Console</t>
  </si>
  <si>
    <t>Rohan Malhotra</t>
  </si>
  <si>
    <t>Drone Camera</t>
  </si>
  <si>
    <t>Neha Kapoor</t>
  </si>
  <si>
    <t>TV</t>
  </si>
  <si>
    <t>Kunal Singh</t>
  </si>
  <si>
    <t>Smart Glasses</t>
  </si>
  <si>
    <t>Alisha Roy</t>
  </si>
  <si>
    <t>Recliner Sofa</t>
  </si>
  <si>
    <t>Tarun Mishra</t>
  </si>
  <si>
    <t>Washing Machine</t>
  </si>
  <si>
    <t>Pooja Nair</t>
  </si>
  <si>
    <t>Earbuds</t>
  </si>
  <si>
    <t>Manish Tiwari</t>
  </si>
  <si>
    <t>Formal Shirt</t>
  </si>
  <si>
    <t>Shreya Desai</t>
  </si>
  <si>
    <t>Coffee Table</t>
  </si>
  <si>
    <t>Kabir Joshi</t>
  </si>
  <si>
    <t>Air Conditioner</t>
  </si>
  <si>
    <t>Anita Yadav</t>
  </si>
  <si>
    <t>Running Shoes</t>
  </si>
  <si>
    <t>Vivek Chopra</t>
  </si>
  <si>
    <t>Tablet</t>
  </si>
  <si>
    <t>Simran Kaur</t>
  </si>
  <si>
    <t>Neckband</t>
  </si>
  <si>
    <t>Nitin Bansal</t>
  </si>
  <si>
    <t>Bookshelf</t>
  </si>
  <si>
    <t>Rekha Reddy</t>
  </si>
  <si>
    <t>Microwave</t>
  </si>
  <si>
    <t>Gautam Saxena</t>
  </si>
  <si>
    <t>Backpack</t>
  </si>
  <si>
    <t>Preeti Rawat</t>
  </si>
  <si>
    <t>Gaming Mouse</t>
  </si>
  <si>
    <t>Ashok Sharma</t>
  </si>
  <si>
    <t>Leather Wallet</t>
  </si>
  <si>
    <t>Divya Nair</t>
  </si>
  <si>
    <t>Ceiling Fan</t>
  </si>
  <si>
    <t>Kiran Kapoor</t>
  </si>
  <si>
    <t>Sports Watch</t>
  </si>
  <si>
    <t>Yash Malhotra</t>
  </si>
  <si>
    <t>Router</t>
  </si>
  <si>
    <t>Anurag Verma</t>
  </si>
  <si>
    <t>Smart Bulb</t>
  </si>
  <si>
    <t>Ritika Shah</t>
  </si>
  <si>
    <t>Office Chair</t>
  </si>
  <si>
    <t>Tanmay Goel</t>
  </si>
  <si>
    <t>Blender</t>
  </si>
  <si>
    <t>Varun Singh</t>
  </si>
  <si>
    <t>Perfume</t>
  </si>
  <si>
    <t>Payal Mehta</t>
  </si>
  <si>
    <t>Power Bank</t>
  </si>
  <si>
    <t>Snehal Desai</t>
  </si>
  <si>
    <t>LED Bulb</t>
  </si>
  <si>
    <t>Ajay Patel</t>
  </si>
  <si>
    <t>Gym Gloves</t>
  </si>
  <si>
    <t>Kritika Gupta</t>
  </si>
  <si>
    <t>Wall Art</t>
  </si>
  <si>
    <t>Dinesh Nair</t>
  </si>
  <si>
    <t>Priyanka Rao</t>
  </si>
  <si>
    <t>Sunglasses</t>
  </si>
  <si>
    <t>Harsh Malhotra</t>
  </si>
  <si>
    <t>Speaker</t>
  </si>
  <si>
    <t>Lavanya Kapoor</t>
  </si>
  <si>
    <t>Trolley Bag</t>
  </si>
  <si>
    <t>Aniket Shah</t>
  </si>
  <si>
    <t>Curtains</t>
  </si>
  <si>
    <t>Niharika Joshi</t>
  </si>
  <si>
    <t>Induction Stove</t>
  </si>
  <si>
    <t>Ravi Sharma</t>
  </si>
  <si>
    <t>Travel Pillow</t>
  </si>
  <si>
    <t>DROP DOWN PRODUCT</t>
  </si>
  <si>
    <t>PRICE</t>
  </si>
  <si>
    <t>Employee ID</t>
  </si>
  <si>
    <t>Employee Name</t>
  </si>
  <si>
    <t>Department</t>
  </si>
  <si>
    <t>Joining Date</t>
  </si>
  <si>
    <t>Experience (Years &amp; Months)</t>
  </si>
  <si>
    <t>E101</t>
  </si>
  <si>
    <t>HR</t>
  </si>
  <si>
    <t>E102</t>
  </si>
  <si>
    <t>Finance</t>
  </si>
  <si>
    <t>E103</t>
  </si>
  <si>
    <t>IT</t>
  </si>
  <si>
    <t>E104</t>
  </si>
  <si>
    <t>Marketing</t>
  </si>
  <si>
    <t>E105</t>
  </si>
  <si>
    <t>Operations</t>
  </si>
  <si>
    <t>E106</t>
  </si>
  <si>
    <t>Sales</t>
  </si>
  <si>
    <t>E107</t>
  </si>
  <si>
    <t>Rohan Mehta</t>
  </si>
  <si>
    <t>E108</t>
  </si>
  <si>
    <t>Anjali Rao</t>
  </si>
  <si>
    <t>Customer ID</t>
  </si>
  <si>
    <t>Country</t>
  </si>
  <si>
    <t>State</t>
  </si>
  <si>
    <t>Phone Number</t>
  </si>
  <si>
    <t>Product</t>
  </si>
  <si>
    <t>Price</t>
  </si>
  <si>
    <t>Units Sold</t>
  </si>
  <si>
    <t>Profit</t>
  </si>
  <si>
    <t>Mode of Payment</t>
  </si>
  <si>
    <t>Revenue</t>
  </si>
  <si>
    <t>Revenue Label</t>
  </si>
  <si>
    <t>Profit %</t>
  </si>
  <si>
    <t>CUST1000</t>
  </si>
  <si>
    <t>West</t>
  </si>
  <si>
    <t>India</t>
  </si>
  <si>
    <t>Karnataka</t>
  </si>
  <si>
    <t>Clothing</t>
  </si>
  <si>
    <t>Shirt</t>
  </si>
  <si>
    <t>High</t>
  </si>
  <si>
    <t>CUST1001</t>
  </si>
  <si>
    <t>Net Banking</t>
  </si>
  <si>
    <t>CUST1002</t>
  </si>
  <si>
    <t>South</t>
  </si>
  <si>
    <t>West Bengal</t>
  </si>
  <si>
    <t>T-shirt</t>
  </si>
  <si>
    <t>Low</t>
  </si>
  <si>
    <t>CUST1003</t>
  </si>
  <si>
    <t>Sofa</t>
  </si>
  <si>
    <t>Cash</t>
  </si>
  <si>
    <t>Medium</t>
  </si>
  <si>
    <t>CUST1004</t>
  </si>
  <si>
    <t>CUST1005</t>
  </si>
  <si>
    <t>CUST1006</t>
  </si>
  <si>
    <t>East</t>
  </si>
  <si>
    <t>Tamil Nadu</t>
  </si>
  <si>
    <t>CUST1007</t>
  </si>
  <si>
    <t>CUST1008</t>
  </si>
  <si>
    <t>Maharashtra</t>
  </si>
  <si>
    <t>CUST1009</t>
  </si>
  <si>
    <t>Gujarat</t>
  </si>
  <si>
    <t>CUST1010</t>
  </si>
  <si>
    <t>Rajasthan</t>
  </si>
  <si>
    <t>CUST1011</t>
  </si>
  <si>
    <t>CUST1012</t>
  </si>
  <si>
    <t>North</t>
  </si>
  <si>
    <t>CUST1013</t>
  </si>
  <si>
    <t>CUST1014</t>
  </si>
  <si>
    <t>CUST1015</t>
  </si>
  <si>
    <t>Monitor</t>
  </si>
  <si>
    <t>CUST1016</t>
  </si>
  <si>
    <t>Jacket</t>
  </si>
  <si>
    <t>Debit Card</t>
  </si>
  <si>
    <t>CUST1017</t>
  </si>
  <si>
    <t>Uttar Pradesh</t>
  </si>
  <si>
    <t>CUST1018</t>
  </si>
  <si>
    <t>CUST1019</t>
  </si>
  <si>
    <t>CUST1020</t>
  </si>
  <si>
    <t>CUST1021</t>
  </si>
  <si>
    <t>CUST1022</t>
  </si>
  <si>
    <t>CUST1023</t>
  </si>
  <si>
    <t>CUST1024</t>
  </si>
  <si>
    <t>CUST1025</t>
  </si>
  <si>
    <t>CUST1026</t>
  </si>
  <si>
    <t>CUST1027</t>
  </si>
  <si>
    <t>CUST1028</t>
  </si>
  <si>
    <t>CUST1029</t>
  </si>
  <si>
    <t>Cupboard</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</si>
  <si>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</si>
  <si>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</si>
  <si>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</si>
  <si>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</si>
  <si>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</si>
  <si>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</si>
  <si>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</si>
  <si>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</si>
  <si>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</si>
  <si>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</si>
  <si>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</si>
  <si>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</si>
  <si>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</si>
  <si>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</si>
  <si>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</si>
  <si>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</si>
  <si>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</si>
  <si>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</si>
  <si>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</si>
  <si>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</si>
  <si>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</si>
  <si>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</si>
  <si>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</si>
  <si>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</si>
  <si>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</si>
  <si>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</si>
  <si>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</si>
  <si>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</si>
  <si>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</si>
  <si>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</si>
  <si>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</si>
  <si>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</si>
  <si>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</si>
  <si>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</si>
  <si>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</si>
  <si>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</si>
  <si>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</si>
  <si>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</si>
  <si>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</si>
  <si>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</si>
  <si>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</si>
  <si>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</si>
  <si>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</si>
  <si>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</si>
  <si>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</si>
  <si>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</si>
  <si>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</si>
  <si>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</si>
  <si>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</si>
  <si>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</si>
  <si>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</si>
  <si>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</si>
  <si>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</si>
  <si>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</si>
  <si>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</si>
  <si>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</si>
  <si>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</si>
  <si>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</si>
  <si>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</si>
  <si>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</si>
  <si>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</si>
  <si>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</si>
  <si>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</si>
  <si>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</si>
  <si>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</si>
  <si>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</si>
  <si>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</si>
  <si>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</si>
  <si>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</si>
  <si>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</si>
  <si>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Row Labels</t>
  </si>
  <si>
    <t>(blank)</t>
  </si>
  <si>
    <t>Grand Total</t>
  </si>
  <si>
    <t>Sum of Revenue</t>
  </si>
  <si>
    <t>Sum of Profit</t>
  </si>
  <si>
    <t>Sum of Units Sold</t>
  </si>
  <si>
    <t>Q10(6)</t>
  </si>
  <si>
    <t>Q10(7)</t>
  </si>
  <si>
    <t>Accident ID</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</si>
  <si>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</si>
  <si>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</si>
  <si>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</si>
  <si>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</si>
  <si>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</si>
  <si>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</si>
  <si>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</si>
  <si>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</si>
  <si>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</si>
  <si>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</si>
  <si>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</si>
  <si>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</si>
  <si>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</si>
  <si>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</si>
  <si>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</si>
  <si>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</si>
  <si>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</si>
  <si>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</si>
  <si>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</si>
  <si>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</si>
  <si>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</si>
  <si>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</si>
  <si>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</si>
  <si>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</si>
  <si>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</si>
  <si>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</si>
  <si>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</si>
  <si>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</si>
  <si>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</si>
  <si>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</si>
  <si>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</si>
  <si>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</si>
  <si>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</si>
  <si>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</si>
  <si>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</si>
  <si>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</si>
  <si>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</si>
  <si>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</si>
  <si>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</si>
  <si>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</si>
  <si>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</si>
  <si>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</si>
  <si>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</si>
  <si>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</si>
  <si>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</si>
  <si>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</si>
  <si>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</si>
  <si>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</si>
  <si>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</si>
  <si>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</si>
  <si>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</si>
  <si>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</si>
  <si>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</si>
  <si>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</si>
  <si>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</si>
  <si>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</si>
  <si>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</si>
  <si>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</si>
  <si>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</si>
  <si>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</si>
  <si>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</si>
  <si>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</si>
  <si>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</si>
  <si>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</si>
  <si>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</si>
  <si>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</si>
  <si>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</si>
  <si>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</si>
  <si>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</si>
  <si>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</si>
  <si>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</si>
  <si>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</si>
  <si>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</si>
  <si>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</si>
  <si>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</si>
  <si>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</si>
  <si>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</si>
  <si>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</si>
  <si>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</si>
  <si>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</si>
  <si>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</si>
  <si>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</si>
  <si>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</si>
  <si>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</si>
  <si>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</si>
  <si>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</si>
  <si>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</si>
  <si>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</si>
  <si>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</si>
  <si>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</si>
  <si>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</si>
  <si>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</si>
  <si>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</si>
  <si>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</si>
  <si>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</si>
  <si>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</si>
  <si>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</si>
  <si>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</si>
  <si>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</si>
  <si>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</si>
  <si>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</si>
  <si>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</si>
  <si>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</si>
  <si>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</si>
  <si>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</si>
  <si>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</si>
  <si>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</si>
  <si>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</si>
  <si>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</si>
  <si>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</si>
  <si>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</si>
  <si>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</si>
  <si>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</si>
  <si>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</si>
  <si>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</si>
  <si>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</si>
  <si>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</si>
  <si>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</si>
  <si>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</si>
  <si>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</si>
  <si>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</si>
  <si>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</si>
  <si>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</si>
  <si>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</si>
  <si>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</si>
  <si>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</si>
  <si>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</si>
  <si>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</si>
  <si>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</si>
  <si>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</si>
  <si>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</si>
  <si>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</si>
  <si>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</si>
  <si>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</si>
  <si>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</si>
  <si>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</si>
  <si>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</si>
  <si>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</si>
  <si>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</si>
  <si>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</si>
  <si>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</si>
  <si>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</si>
  <si>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</si>
  <si>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</si>
  <si>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</si>
  <si>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Count of Accident ID</t>
  </si>
  <si>
    <t>Sum of Casualties</t>
  </si>
  <si>
    <t>PIVOT TABLE 7</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</si>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</sst>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0"/>
      <color theme="1"/>
      <name val="Arial"/>
      <family val="2"/>
    </font>
    <font>
      <sz val="10"/>
      <color theme="1"/>
      <name val="Arial"/>
      <family val="2"/>
    </font>
  </fonts>
  <fills count="6">
    <fill>
      <patternFill patternType="none"/>
    </fill>
    <fill>
      <patternFill patternType="gray125"/>
    </fill>
    <fill>
      <patternFill patternType="solid">
        <fgColor rgb="FFFF0000"/>
        <bgColor indexed="64"/>
      </patternFill>
    </fill>
    <fill>
      <patternFill patternType="solid">
        <fgColor rgb="FF00FF00"/>
        <bgColor indexed="64"/>
      </patternFill>
    </fill>
    <fill>
      <patternFill patternType="solid">
        <fgColor rgb="FFFFC7CE"/>
        <bgColor rgb="FF000000"/>
      </patternFill>
    </fill>
    <fill>
      <patternFill patternType="solid">
        <fgColor rgb="FFFFEB9C"/>
        <bgColor rgb="FF000000"/>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bottom/>
      <diagonal/>
    </border>
    <border>
      <left style="medium">
        <color rgb="FFCCCCCC"/>
      </left>
      <right style="medium">
        <color rgb="FFCCCCCC"/>
      </right>
      <top/>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33">
    <xf numFmtId="0" fontId="0" fillId="0" borderId="0" xfId="0"/>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left"/>
    </xf>
    <xf numFmtId="0" fontId="0" fillId="0" borderId="0" xfId="0" applyAlignment="1">
      <alignment horizont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0" fillId="0" borderId="3" xfId="0" applyBorder="1" applyAlignment="1">
      <alignment horizontal="center" wrapText="1"/>
    </xf>
    <xf numFmtId="14" fontId="0" fillId="0" borderId="3" xfId="0" applyNumberFormat="1" applyBorder="1" applyAlignment="1">
      <alignment horizontal="center" wrapText="1"/>
    </xf>
    <xf numFmtId="0" fontId="3" fillId="0" borderId="4" xfId="0" applyFont="1" applyBorder="1" applyAlignment="1">
      <alignment horizontal="center" wrapText="1"/>
    </xf>
    <xf numFmtId="14" fontId="0" fillId="0" borderId="0" xfId="0" applyNumberFormat="1" applyAlignment="1">
      <alignment horizontal="center" vertical="center" wrapText="1"/>
    </xf>
    <xf numFmtId="0" fontId="4"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wrapText="1"/>
    </xf>
    <xf numFmtId="0" fontId="1" fillId="4" borderId="0" xfId="0" applyFont="1" applyFill="1" applyAlignment="1">
      <alignment horizontal="center"/>
    </xf>
    <xf numFmtId="0" fontId="2" fillId="5" borderId="0" xfId="0" applyFont="1" applyFill="1" applyAlignment="1">
      <alignment horizontal="center"/>
    </xf>
    <xf numFmtId="0" fontId="0" fillId="0" borderId="0" xfId="0" pivotButton="1"/>
    <xf numFmtId="0" fontId="3" fillId="0" borderId="0" xfId="0" applyFont="1"/>
    <xf numFmtId="0" fontId="7" fillId="0" borderId="3" xfId="0" applyFont="1" applyBorder="1" applyAlignment="1">
      <alignment horizontal="center" wrapText="1"/>
    </xf>
    <xf numFmtId="14" fontId="7" fillId="0" borderId="3" xfId="0" applyNumberFormat="1" applyFont="1" applyBorder="1" applyAlignment="1">
      <alignment horizontal="center" wrapText="1"/>
    </xf>
    <xf numFmtId="0" fontId="6" fillId="0" borderId="5" xfId="0" applyFont="1" applyBorder="1" applyAlignment="1">
      <alignment horizontal="center" wrapText="1"/>
    </xf>
    <xf numFmtId="0" fontId="7" fillId="0" borderId="6" xfId="0" applyFont="1" applyBorder="1" applyAlignment="1">
      <alignment horizontal="center" wrapText="1"/>
    </xf>
    <xf numFmtId="0" fontId="7" fillId="0" borderId="7" xfId="0" applyFont="1" applyBorder="1" applyAlignment="1">
      <alignment horizont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6" fillId="0" borderId="10" xfId="0" applyFont="1" applyBorder="1" applyAlignment="1">
      <alignment horizontal="center" wrapText="1"/>
    </xf>
    <xf numFmtId="0" fontId="7" fillId="0" borderId="11" xfId="0" applyFont="1" applyBorder="1" applyAlignment="1">
      <alignment horizontal="center" wrapText="1"/>
    </xf>
    <xf numFmtId="14" fontId="7" fillId="0" borderId="12" xfId="0" applyNumberFormat="1"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3" fillId="0" borderId="0" xfId="0" applyFont="1" applyAlignment="1">
      <alignment horizontal="center"/>
    </xf>
  </cellXfs>
  <cellStyles count="1">
    <cellStyle name="Normal" xfId="0" builtinId="0"/>
  </cellStyles>
  <dxfs count="15">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m/d/yyyy"/>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[PWSKILLS.xlsx]question7!PivotTable1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question7!$B$3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EA7-4CDF-93A2-A7E542B9B463}"/>
              </c:ext>
            </c:extLst>
          </c:dPt>
          <c:dPt>
            <c:idx val="1"/>
            <c:bubble3D val="0"/>
            <c:spPr>
              <a:solidFill>
                <a:schemeClr val="accent2"/>
              </a:solidFill>
              <a:ln>
                <a:noFill/>
              </a:ln>
              <a:effectLst/>
            </c:spPr>
            <c:extLst>
              <c:ext xmlns:c16="http://schemas.microsoft.com/office/drawing/2014/chart" uri="{C3380CC4-5D6E-409C-BE32-E72D297353CC}">
                <c16:uniqueId val="{00000003-1EA7-4CDF-93A2-A7E542B9B463}"/>
              </c:ext>
            </c:extLst>
          </c:dPt>
          <c:dPt>
            <c:idx val="2"/>
            <c:bubble3D val="0"/>
            <c:spPr>
              <a:solidFill>
                <a:schemeClr val="accent3"/>
              </a:solidFill>
              <a:ln>
                <a:noFill/>
              </a:ln>
              <a:effectLst/>
            </c:spPr>
            <c:extLst>
              <c:ext xmlns:c16="http://schemas.microsoft.com/office/drawing/2014/chart" uri="{C3380CC4-5D6E-409C-BE32-E72D297353CC}">
                <c16:uniqueId val="{00000005-1EA7-4CDF-93A2-A7E542B9B463}"/>
              </c:ext>
            </c:extLst>
          </c:dPt>
          <c:dPt>
            <c:idx val="3"/>
            <c:bubble3D val="0"/>
            <c:spPr>
              <a:solidFill>
                <a:schemeClr val="accent4"/>
              </a:solidFill>
              <a:ln>
                <a:noFill/>
              </a:ln>
              <a:effectLst/>
            </c:spPr>
            <c:extLst>
              <c:ext xmlns:c16="http://schemas.microsoft.com/office/drawing/2014/chart" uri="{C3380CC4-5D6E-409C-BE32-E72D297353CC}">
                <c16:uniqueId val="{00000007-1EA7-4CDF-93A2-A7E542B9B463}"/>
              </c:ext>
            </c:extLst>
          </c:dPt>
          <c:dPt>
            <c:idx val="4"/>
            <c:bubble3D val="0"/>
            <c:spPr>
              <a:solidFill>
                <a:schemeClr val="accent5"/>
              </a:solidFill>
              <a:ln>
                <a:noFill/>
              </a:ln>
              <a:effectLst/>
            </c:spPr>
            <c:extLst>
              <c:ext xmlns:c16="http://schemas.microsoft.com/office/drawing/2014/chart" uri="{C3380CC4-5D6E-409C-BE32-E72D297353CC}">
                <c16:uniqueId val="{00000009-1EA7-4CDF-93A2-A7E542B9B463}"/>
              </c:ext>
            </c:extLst>
          </c:dPt>
          <c:dPt>
            <c:idx val="5"/>
            <c:bubble3D val="0"/>
            <c:spPr>
              <a:solidFill>
                <a:schemeClr val="accent6"/>
              </a:solidFill>
              <a:ln>
                <a:noFill/>
              </a:ln>
              <a:effectLst/>
            </c:spPr>
            <c:extLst>
              <c:ext xmlns:c16="http://schemas.microsoft.com/office/drawing/2014/chart" uri="{C3380CC4-5D6E-409C-BE32-E72D297353CC}">
                <c16:uniqueId val="{0000000B-1EA7-4CDF-93A2-A7E542B9B46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EA7-4CDF-93A2-A7E542B9B463}"/>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EA7-4CDF-93A2-A7E542B9B463}"/>
              </c:ext>
            </c:extLst>
          </c:dPt>
          <c:cat>
            <c:strRef>
              <c:f>question7!$A$4:$A$12</c:f>
              <c:strCache>
                <c:ptCount val="8"/>
                <c:pt idx="0">
                  <c:v>Ahmedabad</c:v>
                </c:pt>
                <c:pt idx="1">
                  <c:v>Bangalore</c:v>
                </c:pt>
                <c:pt idx="2">
                  <c:v>Chennai</c:v>
                </c:pt>
                <c:pt idx="3">
                  <c:v>Delhi</c:v>
                </c:pt>
                <c:pt idx="4">
                  <c:v>Hyderabad</c:v>
                </c:pt>
                <c:pt idx="5">
                  <c:v>Kolkata</c:v>
                </c:pt>
                <c:pt idx="6">
                  <c:v>Mumbai</c:v>
                </c:pt>
                <c:pt idx="7">
                  <c:v>Pune</c:v>
                </c:pt>
              </c:strCache>
            </c:strRef>
          </c:cat>
          <c:val>
            <c:numRef>
              <c:f>question7!$B$4:$B$12</c:f>
              <c:numCache>
                <c:formatCode>General</c:formatCode>
                <c:ptCount val="8"/>
                <c:pt idx="0">
                  <c:v>9</c:v>
                </c:pt>
                <c:pt idx="1">
                  <c:v>14</c:v>
                </c:pt>
                <c:pt idx="2">
                  <c:v>12</c:v>
                </c:pt>
                <c:pt idx="3">
                  <c:v>9</c:v>
                </c:pt>
                <c:pt idx="4">
                  <c:v>17</c:v>
                </c:pt>
                <c:pt idx="5">
                  <c:v>13</c:v>
                </c:pt>
                <c:pt idx="6">
                  <c:v>15</c:v>
                </c:pt>
                <c:pt idx="7">
                  <c:v>11</c:v>
                </c:pt>
              </c:numCache>
            </c:numRef>
          </c:val>
          <c:extLst>
            <c:ext xmlns:c16="http://schemas.microsoft.com/office/drawing/2014/chart" uri="{C3380CC4-5D6E-409C-BE32-E72D297353CC}">
              <c16:uniqueId val="{00000000-5640-4D2B-B61B-FFB9EC604D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86-4D7C-91C3-17A1AAF76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86-4D7C-91C3-17A1AAF76A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86-4D7C-91C3-17A1AAF76A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86-4D7C-91C3-17A1AAF76ABE}"/>
              </c:ext>
            </c:extLst>
          </c:dPt>
          <c:cat>
            <c:strLit>
              <c:ptCount val="4"/>
              <c:pt idx="0">
                <c:v>Fatal</c:v>
              </c:pt>
              <c:pt idx="1">
                <c:v>Minor</c:v>
              </c:pt>
              <c:pt idx="2">
                <c:v>Moderate</c:v>
              </c:pt>
              <c:pt idx="3">
                <c:v>Severe</c:v>
              </c:pt>
            </c:strLit>
          </c:cat>
          <c:val>
            <c:numLit>
              <c:formatCode>General</c:formatCode>
              <c:ptCount val="4"/>
              <c:pt idx="0">
                <c:v>24</c:v>
              </c:pt>
              <c:pt idx="1">
                <c:v>26</c:v>
              </c:pt>
              <c:pt idx="2">
                <c:v>22</c:v>
              </c:pt>
              <c:pt idx="3">
                <c:v>27</c:v>
              </c:pt>
            </c:numLit>
          </c:val>
          <c:extLst>
            <c:ext xmlns:c16="http://schemas.microsoft.com/office/drawing/2014/chart" uri="{C3380CC4-5D6E-409C-BE32-E72D297353CC}">
              <c16:uniqueId val="{00000000-423B-482B-85F4-069F8CF244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[PWSKILLS.xlsx]question7!PivotTable2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question7!$B$21</c:f>
              <c:strCache>
                <c:ptCount val="1"/>
                <c:pt idx="0">
                  <c:v>Total</c:v>
                </c:pt>
              </c:strCache>
            </c:strRef>
          </c:tx>
          <c:spPr>
            <a:solidFill>
              <a:schemeClr val="accent1"/>
            </a:solidFill>
            <a:ln>
              <a:noFill/>
            </a:ln>
            <a:effectLst/>
          </c:spPr>
          <c:invertIfNegative val="0"/>
          <c:cat>
            <c:strRef>
              <c:f>question7!$A$22:$A$28</c:f>
              <c:strCache>
                <c:ptCount val="6"/>
                <c:pt idx="0">
                  <c:v>Auto-Rickshaw</c:v>
                </c:pt>
                <c:pt idx="1">
                  <c:v>Bicycle</c:v>
                </c:pt>
                <c:pt idx="2">
                  <c:v>Bus</c:v>
                </c:pt>
                <c:pt idx="3">
                  <c:v>Car</c:v>
                </c:pt>
                <c:pt idx="4">
                  <c:v>Motorcycle</c:v>
                </c:pt>
                <c:pt idx="5">
                  <c:v>Truck</c:v>
                </c:pt>
              </c:strCache>
            </c:strRef>
          </c:cat>
          <c:val>
            <c:numRef>
              <c:f>question7!$B$22:$B$28</c:f>
              <c:numCache>
                <c:formatCode>General</c:formatCode>
                <c:ptCount val="6"/>
                <c:pt idx="0">
                  <c:v>19</c:v>
                </c:pt>
                <c:pt idx="1">
                  <c:v>15</c:v>
                </c:pt>
                <c:pt idx="2">
                  <c:v>11</c:v>
                </c:pt>
                <c:pt idx="3">
                  <c:v>22</c:v>
                </c:pt>
                <c:pt idx="4">
                  <c:v>21</c:v>
                </c:pt>
                <c:pt idx="5">
                  <c:v>12</c:v>
                </c:pt>
              </c:numCache>
            </c:numRef>
          </c:val>
          <c:extLst>
            <c:ext xmlns:c16="http://schemas.microsoft.com/office/drawing/2014/chart" uri="{C3380CC4-5D6E-409C-BE32-E72D297353CC}">
              <c16:uniqueId val="{00000000-2F2C-4C59-BD2D-C13CC6E26170}"/>
            </c:ext>
          </c:extLst>
        </c:ser>
        <c:dLbls>
          <c:showLegendKey val="0"/>
          <c:showVal val="0"/>
          <c:showCatName val="0"/>
          <c:showSerName val="0"/>
          <c:showPercent val="0"/>
          <c:showBubbleSize val="0"/>
        </c:dLbls>
        <c:gapWidth val="150"/>
        <c:axId val="1659932351"/>
        <c:axId val="1659946751"/>
      </c:barChart>
      <c:catAx>
        <c:axId val="165993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46751"/>
        <c:crosses val="autoZero"/>
        <c:auto val="1"/>
        <c:lblAlgn val="ctr"/>
        <c:lblOffset val="100"/>
        <c:noMultiLvlLbl val="0"/>
      </c:catAx>
      <c:valAx>
        <c:axId val="165994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3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Brake Failure</c:v>
              </c:pt>
              <c:pt idx="1">
                <c:v>Distracted Driving</c:v>
              </c:pt>
              <c:pt idx="2">
                <c:v>Drunk Driving</c:v>
              </c:pt>
              <c:pt idx="3">
                <c:v>Overtaking</c:v>
              </c:pt>
              <c:pt idx="4">
                <c:v>Speeding</c:v>
              </c:pt>
              <c:pt idx="5">
                <c:v>Weather</c:v>
              </c:pt>
            </c:strLit>
          </c:cat>
          <c:val>
            <c:numLit>
              <c:formatCode>General</c:formatCode>
              <c:ptCount val="6"/>
              <c:pt idx="0">
                <c:v>15</c:v>
              </c:pt>
              <c:pt idx="1">
                <c:v>14</c:v>
              </c:pt>
              <c:pt idx="2">
                <c:v>20</c:v>
              </c:pt>
              <c:pt idx="3">
                <c:v>17</c:v>
              </c:pt>
              <c:pt idx="4">
                <c:v>20</c:v>
              </c:pt>
              <c:pt idx="5">
                <c:v>14</c:v>
              </c:pt>
            </c:numLit>
          </c:val>
          <c:extLst>
            <c:ext xmlns:c16="http://schemas.microsoft.com/office/drawing/2014/chart" uri="{C3380CC4-5D6E-409C-BE32-E72D297353CC}">
              <c16:uniqueId val="{00000000-3872-4257-B544-155113E6F20A}"/>
            </c:ext>
          </c:extLst>
        </c:ser>
        <c:dLbls>
          <c:showLegendKey val="0"/>
          <c:showVal val="0"/>
          <c:showCatName val="0"/>
          <c:showSerName val="0"/>
          <c:showPercent val="0"/>
          <c:showBubbleSize val="0"/>
        </c:dLbls>
        <c:gapWidth val="219"/>
        <c:overlap val="-27"/>
        <c:axId val="1659918431"/>
        <c:axId val="1659923231"/>
      </c:barChart>
      <c:catAx>
        <c:axId val="165991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23231"/>
        <c:crosses val="autoZero"/>
        <c:auto val="1"/>
        <c:lblAlgn val="ctr"/>
        <c:lblOffset val="100"/>
        <c:noMultiLvlLbl val="0"/>
      </c:catAx>
      <c:valAx>
        <c:axId val="165992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1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7229-450A-93D0-99E9C31188A8}"/>
              </c:ext>
            </c:extLst>
          </c:dPt>
          <c:dPt>
            <c:idx val="1"/>
            <c:bubble3D val="0"/>
            <c:spPr>
              <a:solidFill>
                <a:schemeClr val="accent2"/>
              </a:solidFill>
              <a:ln>
                <a:noFill/>
              </a:ln>
              <a:effectLst/>
            </c:spPr>
            <c:extLst>
              <c:ext xmlns:c16="http://schemas.microsoft.com/office/drawing/2014/chart" uri="{C3380CC4-5D6E-409C-BE32-E72D297353CC}">
                <c16:uniqueId val="{00000003-7229-450A-93D0-99E9C31188A8}"/>
              </c:ext>
            </c:extLst>
          </c:dPt>
          <c:dPt>
            <c:idx val="2"/>
            <c:bubble3D val="0"/>
            <c:spPr>
              <a:solidFill>
                <a:schemeClr val="accent3"/>
              </a:solidFill>
              <a:ln>
                <a:noFill/>
              </a:ln>
              <a:effectLst/>
            </c:spPr>
            <c:extLst>
              <c:ext xmlns:c16="http://schemas.microsoft.com/office/drawing/2014/chart" uri="{C3380CC4-5D6E-409C-BE32-E72D297353CC}">
                <c16:uniqueId val="{00000005-7229-450A-93D0-99E9C31188A8}"/>
              </c:ext>
            </c:extLst>
          </c:dPt>
          <c:dPt>
            <c:idx val="3"/>
            <c:bubble3D val="0"/>
            <c:spPr>
              <a:solidFill>
                <a:schemeClr val="accent4"/>
              </a:solidFill>
              <a:ln>
                <a:noFill/>
              </a:ln>
              <a:effectLst/>
            </c:spPr>
            <c:extLst>
              <c:ext xmlns:c16="http://schemas.microsoft.com/office/drawing/2014/chart" uri="{C3380CC4-5D6E-409C-BE32-E72D297353CC}">
                <c16:uniqueId val="{00000007-7229-450A-93D0-99E9C31188A8}"/>
              </c:ext>
            </c:extLst>
          </c:dPt>
          <c:cat>
            <c:strLit>
              <c:ptCount val="4"/>
              <c:pt idx="0">
                <c:v>Clear</c:v>
              </c:pt>
              <c:pt idx="1">
                <c:v>Foggy</c:v>
              </c:pt>
              <c:pt idx="2">
                <c:v>Rainy</c:v>
              </c:pt>
              <c:pt idx="3">
                <c:v>Windy</c:v>
              </c:pt>
            </c:strLit>
          </c:cat>
          <c:val>
            <c:numLit>
              <c:formatCode>General</c:formatCode>
              <c:ptCount val="4"/>
              <c:pt idx="0">
                <c:v>30</c:v>
              </c:pt>
              <c:pt idx="1">
                <c:v>23</c:v>
              </c:pt>
              <c:pt idx="2">
                <c:v>22</c:v>
              </c:pt>
              <c:pt idx="3">
                <c:v>25</c:v>
              </c:pt>
            </c:numLit>
          </c:val>
          <c:extLst>
            <c:ext xmlns:c16="http://schemas.microsoft.com/office/drawing/2014/chart" uri="{C3380CC4-5D6E-409C-BE32-E72D297353CC}">
              <c16:uniqueId val="{00000000-E4E6-47E9-9489-21164EEB75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25</c:v>
              </c:pt>
              <c:pt idx="1">
                <c:v>34</c:v>
              </c:pt>
              <c:pt idx="2">
                <c:v>23</c:v>
              </c:pt>
              <c:pt idx="3">
                <c:v>20</c:v>
              </c:pt>
              <c:pt idx="4">
                <c:v>49</c:v>
              </c:pt>
              <c:pt idx="5">
                <c:v>43</c:v>
              </c:pt>
              <c:pt idx="6">
                <c:v>36</c:v>
              </c:pt>
              <c:pt idx="7">
                <c:v>22</c:v>
              </c:pt>
            </c:numLit>
          </c:val>
          <c:extLst>
            <c:ext xmlns:c16="http://schemas.microsoft.com/office/drawing/2014/chart" uri="{C3380CC4-5D6E-409C-BE32-E72D297353CC}">
              <c16:uniqueId val="{00000000-7CEA-42D8-9CDD-B9A36F70DBFB}"/>
            </c:ext>
          </c:extLst>
        </c:ser>
        <c:dLbls>
          <c:showLegendKey val="0"/>
          <c:showVal val="0"/>
          <c:showCatName val="0"/>
          <c:showSerName val="0"/>
          <c:showPercent val="0"/>
          <c:showBubbleSize val="0"/>
        </c:dLbls>
        <c:gapWidth val="150"/>
        <c:overlap val="100"/>
        <c:axId val="1659928511"/>
        <c:axId val="1659929471"/>
      </c:barChart>
      <c:catAx>
        <c:axId val="165992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29471"/>
        <c:crosses val="autoZero"/>
        <c:auto val="1"/>
        <c:lblAlgn val="ctr"/>
        <c:lblOffset val="100"/>
        <c:noMultiLvlLbl val="0"/>
      </c:catAx>
      <c:valAx>
        <c:axId val="165992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2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Fatal</c:v>
          </c:tx>
          <c:spPr>
            <a:solidFill>
              <a:schemeClr val="accent1"/>
            </a:solidFill>
            <a:ln>
              <a:noFill/>
            </a:ln>
            <a:effectLst/>
          </c:spPr>
          <c:invertIfNegative val="0"/>
          <c:cat>
            <c:strLit>
              <c:ptCount val="4"/>
              <c:pt idx="0">
                <c:v>Damaged</c:v>
              </c:pt>
              <c:pt idx="1">
                <c:v>Dry</c:v>
              </c:pt>
              <c:pt idx="2">
                <c:v>Under Construction</c:v>
              </c:pt>
              <c:pt idx="3">
                <c:v>Wet</c:v>
              </c:pt>
            </c:strLit>
          </c:cat>
          <c:val>
            <c:numLit>
              <c:formatCode>General</c:formatCode>
              <c:ptCount val="4"/>
              <c:pt idx="0">
                <c:v>9</c:v>
              </c:pt>
              <c:pt idx="1">
                <c:v>3</c:v>
              </c:pt>
              <c:pt idx="2">
                <c:v>6</c:v>
              </c:pt>
              <c:pt idx="3">
                <c:v>6</c:v>
              </c:pt>
            </c:numLit>
          </c:val>
          <c:extLst>
            <c:ext xmlns:c16="http://schemas.microsoft.com/office/drawing/2014/chart" uri="{C3380CC4-5D6E-409C-BE32-E72D297353CC}">
              <c16:uniqueId val="{00000000-38DD-41FF-89C6-5943BA20A9C1}"/>
            </c:ext>
          </c:extLst>
        </c:ser>
        <c:ser>
          <c:idx val="1"/>
          <c:order val="1"/>
          <c:tx>
            <c:v>Minor</c:v>
          </c:tx>
          <c:spPr>
            <a:solidFill>
              <a:schemeClr val="accent2"/>
            </a:solidFill>
            <a:ln>
              <a:noFill/>
            </a:ln>
            <a:effectLst/>
          </c:spPr>
          <c:invertIfNegative val="0"/>
          <c:cat>
            <c:strLit>
              <c:ptCount val="4"/>
              <c:pt idx="0">
                <c:v>Damaged</c:v>
              </c:pt>
              <c:pt idx="1">
                <c:v>Dry</c:v>
              </c:pt>
              <c:pt idx="2">
                <c:v>Under Construction</c:v>
              </c:pt>
              <c:pt idx="3">
                <c:v>Wet</c:v>
              </c:pt>
            </c:strLit>
          </c:cat>
          <c:val>
            <c:numLit>
              <c:formatCode>General</c:formatCode>
              <c:ptCount val="4"/>
              <c:pt idx="0">
                <c:v>6</c:v>
              </c:pt>
              <c:pt idx="1">
                <c:v>7</c:v>
              </c:pt>
              <c:pt idx="2">
                <c:v>8</c:v>
              </c:pt>
              <c:pt idx="3">
                <c:v>5</c:v>
              </c:pt>
            </c:numLit>
          </c:val>
          <c:extLst>
            <c:ext xmlns:c16="http://schemas.microsoft.com/office/drawing/2014/chart" uri="{C3380CC4-5D6E-409C-BE32-E72D297353CC}">
              <c16:uniqueId val="{00000001-38DD-41FF-89C6-5943BA20A9C1}"/>
            </c:ext>
          </c:extLst>
        </c:ser>
        <c:ser>
          <c:idx val="2"/>
          <c:order val="2"/>
          <c:tx>
            <c:v>Moderate</c:v>
          </c:tx>
          <c:spPr>
            <a:solidFill>
              <a:schemeClr val="accent3"/>
            </a:solidFill>
            <a:ln>
              <a:noFill/>
            </a:ln>
            <a:effectLst/>
          </c:spPr>
          <c:invertIfNegative val="0"/>
          <c:cat>
            <c:strLit>
              <c:ptCount val="4"/>
              <c:pt idx="0">
                <c:v>Damaged</c:v>
              </c:pt>
              <c:pt idx="1">
                <c:v>Dry</c:v>
              </c:pt>
              <c:pt idx="2">
                <c:v>Under Construction</c:v>
              </c:pt>
              <c:pt idx="3">
                <c:v>Wet</c:v>
              </c:pt>
            </c:strLit>
          </c:cat>
          <c:val>
            <c:numLit>
              <c:formatCode>General</c:formatCode>
              <c:ptCount val="4"/>
              <c:pt idx="0">
                <c:v>8</c:v>
              </c:pt>
              <c:pt idx="1">
                <c:v>5</c:v>
              </c:pt>
              <c:pt idx="2">
                <c:v>6</c:v>
              </c:pt>
              <c:pt idx="3">
                <c:v>3</c:v>
              </c:pt>
            </c:numLit>
          </c:val>
          <c:extLst>
            <c:ext xmlns:c16="http://schemas.microsoft.com/office/drawing/2014/chart" uri="{C3380CC4-5D6E-409C-BE32-E72D297353CC}">
              <c16:uniqueId val="{00000002-38DD-41FF-89C6-5943BA20A9C1}"/>
            </c:ext>
          </c:extLst>
        </c:ser>
        <c:ser>
          <c:idx val="3"/>
          <c:order val="3"/>
          <c:tx>
            <c:v>Severe</c:v>
          </c:tx>
          <c:spPr>
            <a:solidFill>
              <a:schemeClr val="accent4"/>
            </a:solidFill>
            <a:ln>
              <a:noFill/>
            </a:ln>
            <a:effectLst/>
          </c:spPr>
          <c:invertIfNegative val="0"/>
          <c:cat>
            <c:strLit>
              <c:ptCount val="4"/>
              <c:pt idx="0">
                <c:v>Damaged</c:v>
              </c:pt>
              <c:pt idx="1">
                <c:v>Dry</c:v>
              </c:pt>
              <c:pt idx="2">
                <c:v>Under Construction</c:v>
              </c:pt>
              <c:pt idx="3">
                <c:v>Wet</c:v>
              </c:pt>
            </c:strLit>
          </c:cat>
          <c:val>
            <c:numLit>
              <c:formatCode>General</c:formatCode>
              <c:ptCount val="4"/>
              <c:pt idx="0">
                <c:v>4</c:v>
              </c:pt>
              <c:pt idx="1">
                <c:v>8</c:v>
              </c:pt>
              <c:pt idx="2">
                <c:v>8</c:v>
              </c:pt>
              <c:pt idx="3">
                <c:v>8</c:v>
              </c:pt>
            </c:numLit>
          </c:val>
          <c:extLst>
            <c:ext xmlns:c16="http://schemas.microsoft.com/office/drawing/2014/chart" uri="{C3380CC4-5D6E-409C-BE32-E72D297353CC}">
              <c16:uniqueId val="{00000003-38DD-41FF-89C6-5943BA20A9C1}"/>
            </c:ext>
          </c:extLst>
        </c:ser>
        <c:dLbls>
          <c:showLegendKey val="0"/>
          <c:showVal val="0"/>
          <c:showCatName val="0"/>
          <c:showSerName val="0"/>
          <c:showPercent val="0"/>
          <c:showBubbleSize val="0"/>
        </c:dLbls>
        <c:gapWidth val="150"/>
        <c:overlap val="100"/>
        <c:axId val="1659939551"/>
        <c:axId val="1659940031"/>
      </c:barChart>
      <c:catAx>
        <c:axId val="165993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40031"/>
        <c:crosses val="autoZero"/>
        <c:auto val="1"/>
        <c:lblAlgn val="ctr"/>
        <c:lblOffset val="100"/>
        <c:noMultiLvlLbl val="0"/>
      </c:catAx>
      <c:valAx>
        <c:axId val="165994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3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83820</xdr:colOff>
      <xdr:row>0</xdr:row>
      <xdr:rowOff>63681</xdr:rowOff>
    </xdr:from>
    <xdr:to>
      <xdr:col>9</xdr:col>
      <xdr:colOff>388620</xdr:colOff>
      <xdr:row>15</xdr:row>
      <xdr:rowOff>63681</xdr:rowOff>
    </xdr:to>
    <xdr:graphicFrame macro="">
      <xdr:nvGraphicFramePr>
        <xdr:cNvPr id="2" name="Chart 1">
          <a:extLst>
            <a:ext uri="{FF2B5EF4-FFF2-40B4-BE49-F238E27FC236}">
              <a16:creationId xmlns:a16="http://schemas.microsoft.com/office/drawing/2014/main" id="{BBFE5B38-CBC9-192B-6BCA-569D1DB6B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70758</xdr:colOff>
      <xdr:row>30</xdr:row>
      <xdr:rowOff>163286</xdr:rowOff>
    </xdr:from>
    <xdr:to>
      <xdr:col>9</xdr:col>
      <xdr:colOff>375558</xdr:colOff>
      <xdr:row>43</xdr:row>
      <xdr:rowOff>78922</xdr:rowOff>
    </xdr:to>
    <xdr:graphicFrame macro="">
      <xdr:nvGraphicFramePr>
        <xdr:cNvPr id="3" name="Chart 2">
          <a:extLst>
            <a:ext uri="{FF2B5EF4-FFF2-40B4-BE49-F238E27FC236}">
              <a16:creationId xmlns:a16="http://schemas.microsoft.com/office/drawing/2014/main" id="{BF244A89-77D9-9A1F-81B7-BFFD8F6C5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36285</xdr:colOff>
      <xdr:row>16</xdr:row>
      <xdr:rowOff>80736</xdr:rowOff>
    </xdr:from>
    <xdr:to>
      <xdr:col>9</xdr:col>
      <xdr:colOff>341085</xdr:colOff>
      <xdr:row>31</xdr:row>
      <xdr:rowOff>42636</xdr:rowOff>
    </xdr:to>
    <xdr:graphicFrame macro="">
      <xdr:nvGraphicFramePr>
        <xdr:cNvPr id="4" name="Chart 3">
          <a:extLst>
            <a:ext uri="{FF2B5EF4-FFF2-40B4-BE49-F238E27FC236}">
              <a16:creationId xmlns:a16="http://schemas.microsoft.com/office/drawing/2014/main" id="{CB12CA3A-5667-F7A8-DC62-2233C72DA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1597083</xdr:colOff>
      <xdr:row>0</xdr:row>
      <xdr:rowOff>0</xdr:rowOff>
    </xdr:from>
    <xdr:to>
      <xdr:col>17</xdr:col>
      <xdr:colOff>876993</xdr:colOff>
      <xdr:row>15</xdr:row>
      <xdr:rowOff>1</xdr:rowOff>
    </xdr:to>
    <xdr:graphicFrame macro="">
      <xdr:nvGraphicFramePr>
        <xdr:cNvPr id="5" name="Chart 4">
          <a:extLst>
            <a:ext uri="{FF2B5EF4-FFF2-40B4-BE49-F238E27FC236}">
              <a16:creationId xmlns:a16="http://schemas.microsoft.com/office/drawing/2014/main" id="{0149C3DB-031D-2658-4DFD-60BE1E05B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1351859</xdr:colOff>
      <xdr:row>14</xdr:row>
      <xdr:rowOff>128154</xdr:rowOff>
    </xdr:from>
    <xdr:to>
      <xdr:col>17</xdr:col>
      <xdr:colOff>612719</xdr:colOff>
      <xdr:row>28</xdr:row>
      <xdr:rowOff>128155</xdr:rowOff>
    </xdr:to>
    <xdr:graphicFrame macro="">
      <xdr:nvGraphicFramePr>
        <xdr:cNvPr id="6" name="Chart 5">
          <a:extLst>
            <a:ext uri="{FF2B5EF4-FFF2-40B4-BE49-F238E27FC236}">
              <a16:creationId xmlns:a16="http://schemas.microsoft.com/office/drawing/2014/main" id="{D06F8986-A1C9-4250-D02B-3723D6DC6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1345623</xdr:colOff>
      <xdr:row>28</xdr:row>
      <xdr:rowOff>166254</xdr:rowOff>
    </xdr:from>
    <xdr:to>
      <xdr:col>17</xdr:col>
      <xdr:colOff>606483</xdr:colOff>
      <xdr:row>41</xdr:row>
      <xdr:rowOff>20089</xdr:rowOff>
    </xdr:to>
    <xdr:graphicFrame macro="">
      <xdr:nvGraphicFramePr>
        <xdr:cNvPr id="7" name="Chart 6">
          <a:extLst>
            <a:ext uri="{FF2B5EF4-FFF2-40B4-BE49-F238E27FC236}">
              <a16:creationId xmlns:a16="http://schemas.microsoft.com/office/drawing/2014/main" id="{4DDAE270-BD60-0711-AC54-BC3D52FB3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249555</xdr:colOff>
      <xdr:row>45</xdr:row>
      <xdr:rowOff>15240</xdr:rowOff>
    </xdr:from>
    <xdr:to>
      <xdr:col>10</xdr:col>
      <xdr:colOff>554355</xdr:colOff>
      <xdr:row>59</xdr:row>
      <xdr:rowOff>83820</xdr:rowOff>
    </xdr:to>
    <xdr:graphicFrame macro="">
      <xdr:nvGraphicFramePr>
        <xdr:cNvPr id="8" name="Chart 7">
          <a:extLst>
            <a:ext uri="{FF2B5EF4-FFF2-40B4-BE49-F238E27FC236}">
              <a16:creationId xmlns:a16="http://schemas.microsoft.com/office/drawing/2014/main" id="{322E6DB5-0570-2019-3293-BA7922B91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21</xdr:col>
      <xdr:colOff>57150</xdr:colOff>
      <xdr:row>1</xdr:row>
      <xdr:rowOff>19050</xdr:rowOff>
    </xdr:from>
    <xdr:to>
      <xdr:col>24</xdr:col>
      <xdr:colOff>55245</xdr:colOff>
      <xdr:row>11</xdr:row>
      <xdr:rowOff>0</xdr:rowOff>
    </xdr:to>
    <mc:AlternateContent xmlns:mc="http://schemas.openxmlformats.org/markup-compatibility/2006" xmlns:sle15="http://schemas.microsoft.com/office/drawing/2012/slicer">
      <mc:Choice Requires="sle15">
        <xdr:graphicFrame macro="">
          <xdr:nvGraphicFramePr>
            <xdr:cNvPr id="12" name="Cause 1">
              <a:extLst>
                <a:ext uri="{FF2B5EF4-FFF2-40B4-BE49-F238E27FC236}">
                  <a16:creationId xmlns:a16="http://schemas.microsoft.com/office/drawing/2014/main" id="{57A01B9A-6EE6-48C6-B1C0-75D374D044EC}"/>
                </a:ext>
              </a:extLst>
            </xdr:cNvPr>
            <xdr:cNvGraphicFramePr/>
          </xdr:nvGraphicFramePr>
          <xdr:xfrm>
            <a:off x="0" y="0"/>
            <a:ext cx="0" cy="0"/>
          </xdr:xfrm>
          <a:graphic>
            <a:graphicData uri="http://schemas.microsoft.com/office/drawing/2010/slicer">
              <sle:slicer xmlns:sle="http://schemas.microsoft.com/office/drawing/2010/slicer" name="Cause 1"/>
            </a:graphicData>
          </a:graphic>
        </xdr:graphicFrame>
      </mc:Choice>
      <mc:Fallback xmlns="">
        <xdr:sp macro="" textlink="">
          <xdr:nvSpPr>
            <xdr:cNvPr id="0" name=""/>
            <xdr:cNvSpPr>
              <a:spLocks noTextEdit="1"/>
            </xdr:cNvSpPr>
          </xdr:nvSpPr>
          <xdr:spPr>
            <a:xfrm>
              <a:off x="20078700" y="209550"/>
              <a:ext cx="1826895" cy="1885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41910</xdr:colOff>
      <xdr:row>29</xdr:row>
      <xdr:rowOff>30480</xdr:rowOff>
    </xdr:from>
    <xdr:to>
      <xdr:col>24</xdr:col>
      <xdr:colOff>45720</xdr:colOff>
      <xdr:row>39</xdr:row>
      <xdr:rowOff>30480</xdr:rowOff>
    </xdr:to>
    <mc:AlternateContent xmlns:mc="http://schemas.openxmlformats.org/markup-compatibility/2006" xmlns:sle15="http://schemas.microsoft.com/office/drawing/2012/slicer">
      <mc:Choice Requires="sle15">
        <xdr:graphicFrame macro="">
          <xdr:nvGraphicFramePr>
            <xdr:cNvPr id="14" name="Casualties 2">
              <a:extLst>
                <a:ext uri="{FF2B5EF4-FFF2-40B4-BE49-F238E27FC236}">
                  <a16:creationId xmlns:a16="http://schemas.microsoft.com/office/drawing/2014/main" id="{89039CDE-17E6-4F71-AFF9-E550829DDC3D}"/>
                </a:ext>
              </a:extLst>
            </xdr:cNvPr>
            <xdr:cNvGraphicFramePr/>
          </xdr:nvGraphicFramePr>
          <xdr:xfrm>
            <a:off x="0" y="0"/>
            <a:ext cx="0" cy="0"/>
          </xdr:xfrm>
          <a:graphic>
            <a:graphicData uri="http://schemas.microsoft.com/office/drawing/2010/slicer">
              <sle:slicer xmlns:sle="http://schemas.microsoft.com/office/drawing/2010/slicer" name="Casualties 2"/>
            </a:graphicData>
          </a:graphic>
        </xdr:graphicFrame>
      </mc:Choice>
      <mc:Fallback xmlns="">
        <xdr:sp macro="" textlink="">
          <xdr:nvSpPr>
            <xdr:cNvPr id="0" name=""/>
            <xdr:cNvSpPr>
              <a:spLocks noTextEdit="1"/>
            </xdr:cNvSpPr>
          </xdr:nvSpPr>
          <xdr:spPr>
            <a:xfrm>
              <a:off x="20063460" y="5554980"/>
              <a:ext cx="1832610" cy="1905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438150</xdr:colOff>
      <xdr:row>29</xdr:row>
      <xdr:rowOff>133350</xdr:rowOff>
    </xdr:from>
    <xdr:to>
      <xdr:col>12</xdr:col>
      <xdr:colOff>432435</xdr:colOff>
      <xdr:row>36</xdr:row>
      <xdr:rowOff>38100</xdr:rowOff>
    </xdr:to>
    <mc:AlternateContent xmlns:mc="http://schemas.openxmlformats.org/markup-compatibility/2006" xmlns:sle15="http://schemas.microsoft.com/office/drawing/2012/slicer">
      <mc:Choice Requires="sle15">
        <xdr:graphicFrame macro="">
          <xdr:nvGraphicFramePr>
            <xdr:cNvPr id="15" name="Severity 1">
              <a:extLst>
                <a:ext uri="{FF2B5EF4-FFF2-40B4-BE49-F238E27FC236}">
                  <a16:creationId xmlns:a16="http://schemas.microsoft.com/office/drawing/2014/main" id="{E0DEC2DE-429C-48CF-82DB-A0BE95BC797E}"/>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mlns="">
        <xdr:sp macro="" textlink="">
          <xdr:nvSpPr>
            <xdr:cNvPr id="0" name=""/>
            <xdr:cNvSpPr>
              <a:spLocks noTextEdit="1"/>
            </xdr:cNvSpPr>
          </xdr:nvSpPr>
          <xdr:spPr>
            <a:xfrm>
              <a:off x="7924800" y="5657850"/>
              <a:ext cx="1823085" cy="12382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64770</xdr:colOff>
      <xdr:row>48</xdr:row>
      <xdr:rowOff>152401</xdr:rowOff>
    </xdr:from>
    <xdr:to>
      <xdr:col>19</xdr:col>
      <xdr:colOff>230505</xdr:colOff>
      <xdr:row>56</xdr:row>
      <xdr:rowOff>38101</xdr:rowOff>
    </xdr:to>
    <mc:AlternateContent xmlns:mc="http://schemas.openxmlformats.org/markup-compatibility/2006" xmlns:sle15="http://schemas.microsoft.com/office/drawing/2012/slicer">
      <mc:Choice Requires="sle15">
        <xdr:graphicFrame macro="">
          <xdr:nvGraphicFramePr>
            <xdr:cNvPr id="16" name="Road Condition 1">
              <a:extLst>
                <a:ext uri="{FF2B5EF4-FFF2-40B4-BE49-F238E27FC236}">
                  <a16:creationId xmlns:a16="http://schemas.microsoft.com/office/drawing/2014/main" id="{FF24C77B-75AE-4168-A7DB-EE216EDEFDAE}"/>
                </a:ext>
              </a:extLst>
            </xdr:cNvPr>
            <xdr:cNvGraphicFramePr/>
          </xdr:nvGraphicFramePr>
          <xdr:xfrm>
            <a:off x="0" y="0"/>
            <a:ext cx="0" cy="0"/>
          </xdr:xfrm>
          <a:graphic>
            <a:graphicData uri="http://schemas.microsoft.com/office/drawing/2010/slicer">
              <sle:slicer xmlns:sle="http://schemas.microsoft.com/office/drawing/2010/slicer" name="Road Condition 1"/>
            </a:graphicData>
          </a:graphic>
        </xdr:graphicFrame>
      </mc:Choice>
      <mc:Fallback xmlns="">
        <xdr:sp macro="" textlink="">
          <xdr:nvSpPr>
            <xdr:cNvPr id="0" name=""/>
            <xdr:cNvSpPr>
              <a:spLocks noTextEdit="1"/>
            </xdr:cNvSpPr>
          </xdr:nvSpPr>
          <xdr:spPr>
            <a:xfrm>
              <a:off x="15190470" y="9296401"/>
              <a:ext cx="1823085" cy="1409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38100</xdr:colOff>
      <xdr:row>14</xdr:row>
      <xdr:rowOff>95251</xdr:rowOff>
    </xdr:from>
    <xdr:to>
      <xdr:col>24</xdr:col>
      <xdr:colOff>34290</xdr:colOff>
      <xdr:row>21</xdr:row>
      <xdr:rowOff>95251</xdr:rowOff>
    </xdr:to>
    <mc:AlternateContent xmlns:mc="http://schemas.openxmlformats.org/markup-compatibility/2006" xmlns:sle15="http://schemas.microsoft.com/office/drawing/2012/slicer">
      <mc:Choice Requires="sle15">
        <xdr:graphicFrame macro="">
          <xdr:nvGraphicFramePr>
            <xdr:cNvPr id="17" name="Weather Condition 1">
              <a:extLst>
                <a:ext uri="{FF2B5EF4-FFF2-40B4-BE49-F238E27FC236}">
                  <a16:creationId xmlns:a16="http://schemas.microsoft.com/office/drawing/2014/main" id="{16929856-A9F2-43AB-94FB-CC2D0E835AFC}"/>
                </a:ext>
              </a:extLst>
            </xdr:cNvPr>
            <xdr:cNvGraphicFramePr/>
          </xdr:nvGraphicFramePr>
          <xdr:xfrm>
            <a:off x="0" y="0"/>
            <a:ext cx="0" cy="0"/>
          </xdr:xfrm>
          <a:graphic>
            <a:graphicData uri="http://schemas.microsoft.com/office/drawing/2010/slicer">
              <sle:slicer xmlns:sle="http://schemas.microsoft.com/office/drawing/2010/slicer" name="Weather Condition 1"/>
            </a:graphicData>
          </a:graphic>
        </xdr:graphicFrame>
      </mc:Choice>
      <mc:Fallback xmlns="">
        <xdr:sp macro="" textlink="">
          <xdr:nvSpPr>
            <xdr:cNvPr id="0" name=""/>
            <xdr:cNvSpPr>
              <a:spLocks noTextEdit="1"/>
            </xdr:cNvSpPr>
          </xdr:nvSpPr>
          <xdr:spPr>
            <a:xfrm>
              <a:off x="20059650" y="2762251"/>
              <a:ext cx="1824990" cy="1333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419100</xdr:colOff>
      <xdr:row>15</xdr:row>
      <xdr:rowOff>57150</xdr:rowOff>
    </xdr:from>
    <xdr:to>
      <xdr:col>12</xdr:col>
      <xdr:colOff>413385</xdr:colOff>
      <xdr:row>24</xdr:row>
      <xdr:rowOff>114300</xdr:rowOff>
    </xdr:to>
    <mc:AlternateContent xmlns:mc="http://schemas.openxmlformats.org/markup-compatibility/2006" xmlns:sle15="http://schemas.microsoft.com/office/drawing/2012/slicer">
      <mc:Choice Requires="sle15">
        <xdr:graphicFrame macro="">
          <xdr:nvGraphicFramePr>
            <xdr:cNvPr id="18" name="Vehicle Type 1">
              <a:extLst>
                <a:ext uri="{FF2B5EF4-FFF2-40B4-BE49-F238E27FC236}">
                  <a16:creationId xmlns:a16="http://schemas.microsoft.com/office/drawing/2014/main" id="{A11DAE6A-482A-4A9D-8747-A2D1D2B59374}"/>
                </a:ext>
              </a:extLst>
            </xdr:cNvPr>
            <xdr:cNvGraphicFramePr/>
          </xdr:nvGraphicFramePr>
          <xdr:xfrm>
            <a:off x="0" y="0"/>
            <a:ext cx="0" cy="0"/>
          </xdr:xfrm>
          <a:graphic>
            <a:graphicData uri="http://schemas.microsoft.com/office/drawing/2010/slicer">
              <sle:slicer xmlns:sle="http://schemas.microsoft.com/office/drawing/2010/slicer" name="Vehicle Type 1"/>
            </a:graphicData>
          </a:graphic>
        </xdr:graphicFrame>
      </mc:Choice>
      <mc:Fallback xmlns="">
        <xdr:sp macro="" textlink="">
          <xdr:nvSpPr>
            <xdr:cNvPr id="0" name=""/>
            <xdr:cNvSpPr>
              <a:spLocks noTextEdit="1"/>
            </xdr:cNvSpPr>
          </xdr:nvSpPr>
          <xdr:spPr>
            <a:xfrm>
              <a:off x="7905750" y="2914650"/>
              <a:ext cx="1823085" cy="17716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419100</xdr:colOff>
      <xdr:row>0</xdr:row>
      <xdr:rowOff>76200</xdr:rowOff>
    </xdr:from>
    <xdr:to>
      <xdr:col>12</xdr:col>
      <xdr:colOff>421005</xdr:colOff>
      <xdr:row>13</xdr:row>
      <xdr:rowOff>76200</xdr:rowOff>
    </xdr:to>
    <mc:AlternateContent xmlns:mc="http://schemas.openxmlformats.org/markup-compatibility/2006" xmlns:sle15="http://schemas.microsoft.com/office/drawing/2012/slicer">
      <mc:Choice Requires="sle15">
        <xdr:graphicFrame macro="">
          <xdr:nvGraphicFramePr>
            <xdr:cNvPr id="20" name="Location 1">
              <a:extLst>
                <a:ext uri="{FF2B5EF4-FFF2-40B4-BE49-F238E27FC236}">
                  <a16:creationId xmlns:a16="http://schemas.microsoft.com/office/drawing/2014/main" id="{0BFBDA89-F815-47B8-9869-652C2ECA763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7905750" y="76200"/>
              <a:ext cx="1830705" cy="2476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457200</xdr:colOff>
      <xdr:row>37</xdr:row>
      <xdr:rowOff>83820</xdr:rowOff>
    </xdr:from>
    <xdr:to>
      <xdr:col>12</xdr:col>
      <xdr:colOff>445770</xdr:colOff>
      <xdr:row>42</xdr:row>
      <xdr:rowOff>171450</xdr:rowOff>
    </xdr:to>
    <mc:AlternateContent xmlns:mc="http://schemas.openxmlformats.org/markup-compatibility/2006" xmlns:sle15="http://schemas.microsoft.com/office/drawing/2012/slicer">
      <mc:Choice Requires="sle15">
        <xdr:graphicFrame macro="">
          <xdr:nvGraphicFramePr>
            <xdr:cNvPr id="22" name="Accident ID 1">
              <a:extLst>
                <a:ext uri="{FF2B5EF4-FFF2-40B4-BE49-F238E27FC236}">
                  <a16:creationId xmlns:a16="http://schemas.microsoft.com/office/drawing/2014/main" id="{7731FAB0-6728-46DB-ACB6-E6F317A0F5A8}"/>
                </a:ext>
              </a:extLst>
            </xdr:cNvPr>
            <xdr:cNvGraphicFramePr/>
          </xdr:nvGraphicFramePr>
          <xdr:xfrm>
            <a:off x="0" y="0"/>
            <a:ext cx="0" cy="0"/>
          </xdr:xfrm>
          <a:graphic>
            <a:graphicData uri="http://schemas.microsoft.com/office/drawing/2010/slicer">
              <sle:slicer xmlns:sle="http://schemas.microsoft.com/office/drawing/2010/slicer" name="Accident ID 1"/>
            </a:graphicData>
          </a:graphic>
        </xdr:graphicFrame>
      </mc:Choice>
      <mc:Fallback xmlns="">
        <xdr:sp macro="" textlink="">
          <xdr:nvSpPr>
            <xdr:cNvPr id="0" name=""/>
            <xdr:cNvSpPr>
              <a:spLocks noTextEdit="1"/>
            </xdr:cNvSpPr>
          </xdr:nvSpPr>
          <xdr:spPr>
            <a:xfrm>
              <a:off x="7943850" y="7132320"/>
              <a:ext cx="1817370" cy="10401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946475115743" createdVersion="8" refreshedVersion="8" minRefreshableVersion="3" recordCount="112" xr:uid="{E4BB0780-7841-48A5-B8BF-E6D2B26905B1}">
  <cacheSource type="worksheet">
    <worksheetSource ref="A1:N1048576" sheet="question10"/>
  </cacheSource>
  <cacheFields count="14">
    <cacheField name="Customer ID" numFmtId="0">
      <sharedItems containsBlank="1"/>
    </cacheField>
    <cacheField name="Region" numFmtId="0">
      <sharedItems containsBlank="1" count="5">
        <s v="West"/>
        <s v="South"/>
        <s v="East"/>
        <s v="North"/>
        <m/>
      </sharedItems>
    </cacheField>
    <cacheField name="Country" numFmtId="0">
      <sharedItems containsBlank="1"/>
    </cacheField>
    <cacheField name="State" numFmtId="0">
      <sharedItems containsBlank="1"/>
    </cacheField>
    <cacheField name="Phone Number" numFmtId="0">
      <sharedItems containsString="0" containsBlank="1" containsNumber="1" containsInteger="1" minValue="85" maxValue="99831923457"/>
    </cacheField>
    <cacheField name="Category" numFmtId="0">
      <sharedItems containsBlank="1" count="4">
        <s v="Clothing"/>
        <s v="Furniture"/>
        <s v="Electronics"/>
        <m/>
      </sharedItems>
    </cacheField>
    <cacheField name="Product" numFmtId="0">
      <sharedItems containsBlank="1"/>
    </cacheField>
    <cacheField name="Price" numFmtId="0">
      <sharedItems containsString="0" containsBlank="1" containsNumber="1" minValue="238.37" maxValue="2896.96"/>
    </cacheField>
    <cacheField name="Units Sold" numFmtId="0">
      <sharedItems containsString="0" containsBlank="1" containsNumber="1" containsInteger="1" minValue="1" maxValue="15"/>
    </cacheField>
    <cacheField name="Profit" numFmtId="0">
      <sharedItems containsString="0" containsBlank="1" containsNumber="1" minValue="163.57" maxValue="11123.31"/>
    </cacheField>
    <cacheField name="Mode of Payment" numFmtId="0">
      <sharedItems containsBlank="1"/>
    </cacheField>
    <cacheField name="Revenue" numFmtId="0">
      <sharedItems containsString="0" containsBlank="1" containsNumber="1" minValue="1248.54" maxValue="42729.15"/>
    </cacheField>
    <cacheField name="Revenue Label" numFmtId="0">
      <sharedItems containsBlank="1"/>
    </cacheField>
    <cacheField name="Profit %" numFmtId="0">
      <sharedItems containsString="0" containsBlank="1" containsNumber="1" minValue="10.26" maxValue="2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973781018518" createdVersion="8" refreshedVersion="8" minRefreshableVersion="3" recordCount="100" xr:uid="{74AD1705-4137-44F1-8585-B62CFC3A8EBE}">
  <cacheSource type="worksheet">
    <worksheetSource ref="A1:J101" sheet="q7"/>
  </cacheSource>
  <cacheFields count="10">
    <cacheField name="Accident ID" numFmtId="0">
      <sharedItems/>
    </cacheField>
    <cacheField name="Date" numFmtId="14">
      <sharedItems containsSemiMixedTypes="0" containsNonDate="0" containsDate="1" containsString="0" minDate="2024-01-01T00:00:00" maxDate="2024-06-27T00:00:00"/>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ount="6">
        <s v="Auto-Rickshaw"/>
        <s v="Bicycle"/>
        <s v="Truck"/>
        <s v="Car"/>
        <s v="Motorcycle"/>
        <s v="Bus"/>
      </sharedItems>
    </cacheField>
    <cacheField name="Weather Condition" numFmtId="0">
      <sharedItems count="4">
        <s v="Clear"/>
        <s v="Foggy"/>
        <s v="Windy"/>
        <s v="Rainy"/>
      </sharedItems>
    </cacheField>
    <cacheField name="Road Condition" numFmtId="0">
      <sharedItems count="4">
        <s v="Dry"/>
        <s v="Damaged"/>
        <s v="Under Construction"/>
        <s v="Wet"/>
      </sharedItems>
    </cacheField>
    <cacheField name="Severity" numFmtId="0">
      <sharedItems count="4">
        <s v="Moderate"/>
        <s v="Fatal"/>
        <s v="Minor"/>
        <s v="Severe"/>
      </sharedItems>
    </cacheField>
    <cacheField name="Cause" numFmtId="0">
      <sharedItems count="6">
        <s v="Overtaking"/>
        <s v="Distracted Driving"/>
        <s v="Brake Failure"/>
        <s v="Weather"/>
        <s v="Drunk Driving"/>
        <s v="Speeding"/>
      </sharedItems>
    </cacheField>
    <cacheField name="Casualties"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998946296299" createdVersion="8" refreshedVersion="8" minRefreshableVersion="3" recordCount="100" xr:uid="{4D2C2EE7-7C9B-42C1-80BE-0EF59B71C7EB}">
  <cacheSource type="worksheet">
    <worksheetSource ref="A1:K101" sheet="q7"/>
  </cacheSource>
  <cacheFields count="11">
    <cacheField name="Accident ID" numFmtId="0">
      <sharedItems/>
    </cacheField>
    <cacheField name="Date" numFmtId="14">
      <sharedItems containsSemiMixedTypes="0" containsNonDate="0" containsDate="1" containsString="0" minDate="2024-01-01T00:00:00" maxDate="2024-06-27T00:00:00"/>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acheField>
    <cacheField name="Weather Condition" numFmtId="0">
      <sharedItems/>
    </cacheField>
    <cacheField name="Road Condition" numFmtId="0">
      <sharedItems/>
    </cacheField>
    <cacheField name="Severity" numFmtId="0">
      <sharedItems/>
    </cacheField>
    <cacheField name="Cause" numFmtId="0">
      <sharedItems/>
    </cacheField>
    <cacheField name="Casualties" numFmtId="0">
      <sharedItems containsSemiMixedTypes="0" containsString="0" containsNumber="1" containsInteger="1" minValue="0" maxValue="5"/>
    </cacheField>
    <cacheField name="SUM CASUALTY" numFmtId="0">
      <sharedItems containsString="0" containsBlank="1" containsNumber="1" containsInteger="1" minValue="252" maxValue="2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CUST1000"/>
    <x v="0"/>
    <s v="India"/>
    <s v="Karnataka"/>
    <n v="9515759149"/>
    <x v="0"/>
    <s v="Shirt"/>
    <n v="2439.81"/>
    <n v="5"/>
    <n v="3559.55"/>
    <s v="Credit Card"/>
    <n v="12199.05"/>
    <s v="High"/>
    <n v="29.18"/>
  </r>
  <r>
    <s v="CUST1001"/>
    <x v="0"/>
    <s v="India"/>
    <s v="Karnataka"/>
    <n v="9720381947"/>
    <x v="1"/>
    <s v="Table"/>
    <n v="1621.43"/>
    <n v="13"/>
    <n v="4029.57"/>
    <s v="Net Banking"/>
    <n v="21078.59"/>
    <s v="High"/>
    <n v="19.12"/>
  </r>
  <r>
    <s v="CUST1002"/>
    <x v="1"/>
    <s v="India"/>
    <s v="West Bengal"/>
    <n v="9483465530"/>
    <x v="0"/>
    <s v="T-shirt"/>
    <n v="1363.73"/>
    <n v="1"/>
    <n v="362.2"/>
    <s v="Net Banking"/>
    <n v="1363.73"/>
    <s v="Low"/>
    <n v="26.56"/>
  </r>
  <r>
    <s v="CUST1003"/>
    <x v="1"/>
    <s v="India"/>
    <s v="West Bengal"/>
    <n v="9350165589"/>
    <x v="1"/>
    <s v="Sofa"/>
    <n v="1172.93"/>
    <n v="5"/>
    <n v="1542.65"/>
    <s v="Cash"/>
    <n v="5864.65"/>
    <s v="Medium"/>
    <n v="26.3"/>
  </r>
  <r>
    <s v="CUST1004"/>
    <x v="1"/>
    <s v="India"/>
    <s v="Karnataka"/>
    <n v="9621991901"/>
    <x v="0"/>
    <s v="Jeans"/>
    <n v="2457.56"/>
    <n v="13"/>
    <n v="6972.71"/>
    <s v="Credit Card"/>
    <n v="31948.28"/>
    <s v="High"/>
    <n v="21.82"/>
  </r>
  <r>
    <s v="CUST1005"/>
    <x v="1"/>
    <s v="India"/>
    <s v="West Bengal"/>
    <n v="9734105442"/>
    <x v="0"/>
    <s v="Dress"/>
    <n v="2661.44"/>
    <n v="7"/>
    <n v="2581.67"/>
    <s v="Net Banking"/>
    <n v="18630.080000000002"/>
    <s v="High"/>
    <n v="13.86"/>
  </r>
  <r>
    <s v="CUST1006"/>
    <x v="2"/>
    <s v="India"/>
    <s v="Tamil Nadu"/>
    <n v="9117390999"/>
    <x v="0"/>
    <s v="T-shirt"/>
    <n v="1400.82"/>
    <n v="6"/>
    <n v="994.44"/>
    <s v="UPI"/>
    <n v="8404.92"/>
    <s v="Medium"/>
    <n v="11.83"/>
  </r>
  <r>
    <s v="CUST1007"/>
    <x v="0"/>
    <s v="India"/>
    <s v="Karnataka"/>
    <n v="9513032833"/>
    <x v="1"/>
    <s v="Chair"/>
    <n v="416.18"/>
    <n v="3"/>
    <n v="327.88"/>
    <s v="Net Banking"/>
    <n v="1248.54"/>
    <s v="Low"/>
    <n v="26.26"/>
  </r>
  <r>
    <s v="CUST1008"/>
    <x v="1"/>
    <s v="India"/>
    <s v="Maharashtra"/>
    <n v="95543976868"/>
    <x v="1"/>
    <s v="Chair"/>
    <n v="1290.47"/>
    <n v="6"/>
    <n v="1045.43"/>
    <s v="Net Banking"/>
    <n v="7742.82"/>
    <s v="Medium"/>
    <n v="13.5"/>
  </r>
  <r>
    <s v="CUST1009"/>
    <x v="0"/>
    <s v="India"/>
    <s v="Gujarat"/>
    <n v="9866250123"/>
    <x v="0"/>
    <s v="T-shirt"/>
    <n v="2519.94"/>
    <n v="15"/>
    <n v="11123.31"/>
    <s v="Cash"/>
    <n v="37799.1"/>
    <s v="High"/>
    <n v="29.43"/>
  </r>
  <r>
    <s v="CUST1010"/>
    <x v="1"/>
    <s v="India"/>
    <s v="Rajasthan"/>
    <n v="9884314044"/>
    <x v="0"/>
    <s v="T-shirt"/>
    <n v="2814.97"/>
    <n v="1"/>
    <n v="716.15"/>
    <s v="Net Banking"/>
    <n v="2814.97"/>
    <s v="Low"/>
    <n v="25.44"/>
  </r>
  <r>
    <s v="CUST1011"/>
    <x v="2"/>
    <s v="India"/>
    <s v="West Bengal"/>
    <n v="9192128284"/>
    <x v="0"/>
    <s v="Jeans"/>
    <n v="841.72"/>
    <n v="13"/>
    <n v="2130.1799999999998"/>
    <s v="UPI"/>
    <n v="10942.36"/>
    <s v="High"/>
    <n v="19.47"/>
  </r>
  <r>
    <s v="CUST1012"/>
    <x v="3"/>
    <s v="India"/>
    <s v="West Bengal"/>
    <n v="9731590483"/>
    <x v="2"/>
    <s v="Tablet"/>
    <n v="1169.28"/>
    <n v="2"/>
    <n v="273.95"/>
    <s v="Credit Card"/>
    <n v="2338.56"/>
    <s v="Low"/>
    <n v="11.71"/>
  </r>
  <r>
    <s v="CUST1013"/>
    <x v="0"/>
    <s v="India"/>
    <s v="Karnataka"/>
    <n v="9245312903"/>
    <x v="1"/>
    <s v="Bookshelf"/>
    <n v="2320.0300000000002"/>
    <n v="3"/>
    <n v="1260.55"/>
    <s v="Credit Card"/>
    <n v="6960.09"/>
    <s v="Medium"/>
    <n v="18.11"/>
  </r>
  <r>
    <s v="CUST1014"/>
    <x v="3"/>
    <s v="India"/>
    <s v="West Bengal"/>
    <n v="9587137236"/>
    <x v="0"/>
    <s v="T-shirt"/>
    <n v="1780.66"/>
    <n v="11"/>
    <n v="2826.93"/>
    <s v="UPI"/>
    <n v="19587.259999999998"/>
    <s v="High"/>
    <n v="14.43"/>
  </r>
  <r>
    <s v="CUST1015"/>
    <x v="3"/>
    <s v="India"/>
    <s v="Tamil Nadu"/>
    <n v="9161819590"/>
    <x v="2"/>
    <s v="Monitor"/>
    <n v="2672"/>
    <n v="15"/>
    <n v="4719.91"/>
    <s v="Cash"/>
    <n v="40080"/>
    <s v="High"/>
    <n v="11.78"/>
  </r>
  <r>
    <s v="CUST1016"/>
    <x v="1"/>
    <s v="India"/>
    <s v="West Bengal"/>
    <n v="9551484924"/>
    <x v="0"/>
    <s v="Jacket"/>
    <n v="824.49"/>
    <n v="9"/>
    <n v="1403.14"/>
    <s v="Debit Card"/>
    <n v="7420.41"/>
    <s v="Medium"/>
    <n v="18.91"/>
  </r>
  <r>
    <s v="CUST1017"/>
    <x v="2"/>
    <s v="India"/>
    <s v="Uttar Pradesh"/>
    <n v="91682255459"/>
    <x v="2"/>
    <s v="Headphones"/>
    <n v="2896.96"/>
    <n v="7"/>
    <n v="3528.3"/>
    <s v="Net Banking"/>
    <n v="20278.72"/>
    <s v="High"/>
    <n v="17.399999999999999"/>
  </r>
  <r>
    <s v="CUST1018"/>
    <x v="1"/>
    <s v="India"/>
    <s v="Maharashtra"/>
    <n v="9277023818"/>
    <x v="2"/>
    <s v="Monitor"/>
    <n v="1235.32"/>
    <n v="9"/>
    <n v="2542.0700000000002"/>
    <s v="Debit Card"/>
    <n v="11117.88"/>
    <s v="High"/>
    <n v="22.86"/>
  </r>
  <r>
    <s v="CUST1019"/>
    <x v="2"/>
    <s v="India"/>
    <s v="Gujarat"/>
    <n v="9670448490"/>
    <x v="1"/>
    <s v="Table"/>
    <n v="2168.33"/>
    <n v="3"/>
    <n v="1394.93"/>
    <s v="Cash"/>
    <n v="6504.99"/>
    <s v="Medium"/>
    <n v="21.44"/>
  </r>
  <r>
    <s v="CUST1020"/>
    <x v="2"/>
    <s v="India"/>
    <s v="West Bengal"/>
    <n v="9123788207"/>
    <x v="0"/>
    <s v="Jacket"/>
    <n v="2654.54"/>
    <n v="5"/>
    <n v="3308.52"/>
    <s v="Debit Card"/>
    <n v="13272.7"/>
    <s v="High"/>
    <n v="24.93"/>
  </r>
  <r>
    <s v="CUST1021"/>
    <x v="0"/>
    <s v="India"/>
    <s v="Tamil Nadu"/>
    <n v="99831923457"/>
    <x v="2"/>
    <s v="Laptop"/>
    <n v="1313.77"/>
    <n v="7"/>
    <n v="2435.5500000000002"/>
    <s v="Cash"/>
    <n v="9196.39"/>
    <s v="Medium"/>
    <n v="26.48"/>
  </r>
  <r>
    <s v="CUST1022"/>
    <x v="2"/>
    <s v="India"/>
    <s v="Gujarat"/>
    <n v="9822358874"/>
    <x v="2"/>
    <s v="Headphones"/>
    <n v="1602.24"/>
    <n v="13"/>
    <n v="3082.85"/>
    <s v="Debit Card"/>
    <n v="20829.12"/>
    <s v="High"/>
    <n v="14.8"/>
  </r>
  <r>
    <s v="CUST1023"/>
    <x v="0"/>
    <s v="India"/>
    <s v="Uttar Pradesh"/>
    <n v="9497595031"/>
    <x v="1"/>
    <s v="Sofa"/>
    <n v="592.33000000000004"/>
    <n v="4"/>
    <n v="539.64"/>
    <s v="Net Banking"/>
    <n v="2369.3200000000002"/>
    <s v="Low"/>
    <n v="22.78"/>
  </r>
  <r>
    <s v="CUST1024"/>
    <x v="1"/>
    <s v="India"/>
    <s v="Rajasthan"/>
    <n v="9781615192"/>
    <x v="2"/>
    <s v="Monitor"/>
    <n v="589.14"/>
    <n v="8"/>
    <n v="1252.56"/>
    <s v="Cash"/>
    <n v="4713.12"/>
    <s v="Low"/>
    <n v="26.58"/>
  </r>
  <r>
    <s v="CUST1025"/>
    <x v="3"/>
    <s v="India"/>
    <s v="Uttar Pradesh"/>
    <n v="9310431691"/>
    <x v="1"/>
    <s v="Chair"/>
    <n v="2354.6"/>
    <n v="4"/>
    <n v="2575.4299999999998"/>
    <s v="Credit Card"/>
    <n v="9418.4"/>
    <s v="Medium"/>
    <n v="27.34"/>
  </r>
  <r>
    <s v="CUST1026"/>
    <x v="2"/>
    <s v="India"/>
    <s v="Uttar Pradesh"/>
    <n v="9375633062"/>
    <x v="2"/>
    <s v="Smartphone"/>
    <n v="1920.55"/>
    <n v="6"/>
    <n v="2254.59"/>
    <s v="Credit Card"/>
    <n v="11523.3"/>
    <s v="High"/>
    <n v="19.57"/>
  </r>
  <r>
    <s v="CUST1027"/>
    <x v="2"/>
    <s v="India"/>
    <s v="West Bengal"/>
    <n v="9958467371"/>
    <x v="0"/>
    <s v="Dress"/>
    <n v="1086.4100000000001"/>
    <n v="7"/>
    <n v="2066.7600000000002"/>
    <s v="Credit Card"/>
    <n v="7604.87"/>
    <s v="Medium"/>
    <n v="27.18"/>
  </r>
  <r>
    <s v="CUST1028"/>
    <x v="2"/>
    <s v="India"/>
    <s v="West Bengal"/>
    <n v="9485913642"/>
    <x v="1"/>
    <s v="Bookshelf"/>
    <n v="1181.07"/>
    <n v="13"/>
    <n v="3821.07"/>
    <s v="Cash"/>
    <n v="15353.91"/>
    <s v="High"/>
    <n v="24.89"/>
  </r>
  <r>
    <s v="CUST1029"/>
    <x v="2"/>
    <s v="India"/>
    <s v="Uttar Pradesh"/>
    <n v="9942727052"/>
    <x v="1"/>
    <s v="Cupboard"/>
    <n v="2521.1999999999998"/>
    <n v="8"/>
    <n v="6046.68"/>
    <s v="Credit Card"/>
    <n v="20169.599999999999"/>
    <s v="High"/>
    <n v="29.98"/>
  </r>
  <r>
    <s v="CUST1030"/>
    <x v="1"/>
    <s v="India"/>
    <s v="Gujarat"/>
    <n v="9164209990"/>
    <x v="0"/>
    <s v="Jeans"/>
    <n v="1741.71"/>
    <n v="15"/>
    <n v="4026.14"/>
    <s v="UPI"/>
    <n v="26125.65"/>
    <s v="High"/>
    <n v="15.41"/>
  </r>
  <r>
    <s v="CUST1031"/>
    <x v="1"/>
    <s v="India"/>
    <s v="Uttar Pradesh"/>
    <n v="9972130283"/>
    <x v="1"/>
    <s v="Sofa"/>
    <n v="1691.18"/>
    <n v="9"/>
    <n v="3286.83"/>
    <s v="Net Banking"/>
    <n v="15220.62"/>
    <s v="High"/>
    <n v="21.59"/>
  </r>
  <r>
    <s v="CUST1032"/>
    <x v="1"/>
    <s v="India"/>
    <s v="Uttar Pradesh"/>
    <n v="9305312346"/>
    <x v="0"/>
    <s v="Jacket"/>
    <n v="2430.4899999999998"/>
    <n v="1"/>
    <n v="538.34"/>
    <s v="Debit Card"/>
    <n v="2430.4899999999998"/>
    <s v="Low"/>
    <n v="22.15"/>
  </r>
  <r>
    <s v="CUST1033"/>
    <x v="0"/>
    <s v="India"/>
    <s v="Uttar Pradesh"/>
    <n v="9403336927"/>
    <x v="0"/>
    <s v="Dress"/>
    <n v="1937.5"/>
    <n v="10"/>
    <n v="2548.08"/>
    <s v="UPI"/>
    <n v="19375"/>
    <s v="High"/>
    <n v="13.15"/>
  </r>
  <r>
    <s v="CUST1034"/>
    <x v="3"/>
    <s v="India"/>
    <s v="Karnataka"/>
    <n v="9209432112"/>
    <x v="0"/>
    <s v="T-shirt"/>
    <n v="2848.61"/>
    <n v="15"/>
    <n v="6188.69"/>
    <s v="Debit Card"/>
    <n v="42729.15"/>
    <s v="High"/>
    <n v="14.48"/>
  </r>
  <r>
    <s v="CUST1035"/>
    <x v="3"/>
    <s v="India"/>
    <s v="Maharashtra"/>
    <n v="92886736565"/>
    <x v="1"/>
    <s v="Cupboard"/>
    <n v="537.01"/>
    <n v="15"/>
    <n v="848.33"/>
    <s v="Debit Card"/>
    <n v="8055.15"/>
    <s v="Medium"/>
    <n v="10.53"/>
  </r>
  <r>
    <s v="CUST1036"/>
    <x v="2"/>
    <s v="India"/>
    <s v="Karnataka"/>
    <n v="9696039067"/>
    <x v="1"/>
    <s v="Sofa"/>
    <n v="2052.79"/>
    <n v="1"/>
    <n v="296.79000000000002"/>
    <s v="Net Banking"/>
    <n v="2052.79"/>
    <s v="Low"/>
    <n v="14.46"/>
  </r>
  <r>
    <s v="CUST1037"/>
    <x v="2"/>
    <s v="India"/>
    <s v="Maharashtra"/>
    <n v="9729755086"/>
    <x v="0"/>
    <s v="Jacket"/>
    <n v="1708.1"/>
    <n v="3"/>
    <n v="897.22"/>
    <s v="Credit Card"/>
    <n v="5124.3"/>
    <s v="Medium"/>
    <n v="17.510000000000002"/>
  </r>
  <r>
    <s v="CUST1038"/>
    <x v="2"/>
    <s v="India"/>
    <s v="Uttar Pradesh"/>
    <n v="9291717779"/>
    <x v="2"/>
    <s v="Headphones"/>
    <n v="1616.55"/>
    <n v="14"/>
    <n v="6621.29"/>
    <s v="Credit Card"/>
    <n v="22631.7"/>
    <s v="High"/>
    <n v="29.26"/>
  </r>
  <r>
    <s v="CUST1039"/>
    <x v="2"/>
    <s v="India"/>
    <s v="Karnataka"/>
    <n v="9596984707"/>
    <x v="0"/>
    <s v="Jeans"/>
    <n v="1774.62"/>
    <n v="7"/>
    <n v="3378.16"/>
    <s v="Credit Card"/>
    <n v="12422.34"/>
    <s v="High"/>
    <n v="27.19"/>
  </r>
  <r>
    <s v="CUST1040"/>
    <x v="1"/>
    <s v="India"/>
    <s v="Gujarat"/>
    <n v="9621477109"/>
    <x v="2"/>
    <s v="Smartphone"/>
    <n v="644.14"/>
    <n v="12"/>
    <n v="988.52"/>
    <s v="Cash"/>
    <n v="7729.68"/>
    <s v="Medium"/>
    <n v="12.79"/>
  </r>
  <r>
    <s v="CUST1041"/>
    <x v="1"/>
    <s v="India"/>
    <s v="West Bengal"/>
    <n v="9813614929"/>
    <x v="1"/>
    <s v="Sofa"/>
    <n v="1767.47"/>
    <n v="13"/>
    <n v="3353.4"/>
    <s v="UPI"/>
    <n v="22977.11"/>
    <s v="High"/>
    <n v="14.59"/>
  </r>
  <r>
    <s v="CUST1042"/>
    <x v="2"/>
    <s v="India"/>
    <s v="Tamil Nadu"/>
    <n v="9314930259"/>
    <x v="0"/>
    <s v="Dress"/>
    <n v="2506.6"/>
    <n v="11"/>
    <n v="8011.16"/>
    <s v="UPI"/>
    <n v="27572.6"/>
    <s v="High"/>
    <n v="29.05"/>
  </r>
  <r>
    <s v="CUST1043"/>
    <x v="0"/>
    <s v="India"/>
    <s v="West Bengal"/>
    <n v="93262535688"/>
    <x v="2"/>
    <s v="Tablet"/>
    <n v="727.87"/>
    <n v="2"/>
    <n v="385.93"/>
    <s v="Credit Card"/>
    <n v="1455.74"/>
    <s v="Low"/>
    <n v="26.51"/>
  </r>
  <r>
    <s v="CUST1044"/>
    <x v="0"/>
    <s v="India"/>
    <s v="Uttar Pradesh"/>
    <n v="9922473225"/>
    <x v="1"/>
    <s v="Sofa"/>
    <n v="2509.39"/>
    <n v="4"/>
    <n v="2607.48"/>
    <s v="Credit Card"/>
    <n v="10037.56"/>
    <s v="High"/>
    <n v="25.98"/>
  </r>
  <r>
    <s v="CUST1045"/>
    <x v="3"/>
    <s v="India"/>
    <s v="Rajasthan"/>
    <n v="9435049619"/>
    <x v="2"/>
    <s v="Monitor"/>
    <n v="254.27"/>
    <n v="5"/>
    <n v="247.89"/>
    <s v="Net Banking"/>
    <n v="1271.3499999999999"/>
    <s v="Low"/>
    <n v="19.5"/>
  </r>
  <r>
    <s v="CUST1046"/>
    <x v="2"/>
    <s v="India"/>
    <s v="Uttar Pradesh"/>
    <n v="9139717689"/>
    <x v="2"/>
    <s v="Tablet"/>
    <n v="1104.23"/>
    <n v="11"/>
    <n v="1883.37"/>
    <s v="Credit Card"/>
    <n v="12146.53"/>
    <s v="High"/>
    <n v="15.51"/>
  </r>
  <r>
    <s v="CUST1047"/>
    <x v="1"/>
    <s v="India"/>
    <s v="West Bengal"/>
    <n v="9873282041"/>
    <x v="2"/>
    <s v="Laptop"/>
    <n v="861.53"/>
    <n v="3"/>
    <n v="482.01"/>
    <s v="Debit Card"/>
    <n v="2584.59"/>
    <s v="Low"/>
    <n v="18.649999999999999"/>
  </r>
  <r>
    <s v="CUST1048"/>
    <x v="3"/>
    <s v="India"/>
    <s v="West Bengal"/>
    <n v="9520705759"/>
    <x v="0"/>
    <s v="T-shirt"/>
    <n v="940.76"/>
    <n v="4"/>
    <n v="842.47"/>
    <s v="Debit Card"/>
    <n v="3763.04"/>
    <s v="Low"/>
    <n v="22.39"/>
  </r>
  <r>
    <s v="CUST1049"/>
    <x v="2"/>
    <s v="India"/>
    <s v="West Bengal"/>
    <n v="9648648568"/>
    <x v="0"/>
    <s v="T-shirt"/>
    <n v="1505.5"/>
    <n v="11"/>
    <n v="3985.19"/>
    <s v="Debit Card"/>
    <n v="16560.5"/>
    <s v="High"/>
    <n v="24.06"/>
  </r>
  <r>
    <s v="CUST1050"/>
    <x v="0"/>
    <s v="India"/>
    <s v="Uttar Pradesh"/>
    <n v="9416435713"/>
    <x v="0"/>
    <s v="Jeans"/>
    <n v="1477.49"/>
    <n v="11"/>
    <n v="2428.98"/>
    <s v="Credit Card"/>
    <n v="16252.39"/>
    <s v="High"/>
    <n v="14.95"/>
  </r>
  <r>
    <s v="CUST1051"/>
    <x v="2"/>
    <s v="India"/>
    <s v="Rajasthan"/>
    <n v="9211381294"/>
    <x v="1"/>
    <s v="Chair"/>
    <n v="704.64"/>
    <n v="2"/>
    <n v="163.57"/>
    <s v="UPI"/>
    <n v="1409.28"/>
    <s v="Low"/>
    <n v="11.61"/>
  </r>
  <r>
    <s v="CUST1052"/>
    <x v="3"/>
    <s v="India"/>
    <s v="West Bengal"/>
    <n v="9791244114"/>
    <x v="1"/>
    <s v="Cupboard"/>
    <n v="2030.2"/>
    <n v="13"/>
    <n v="3695.03"/>
    <s v="Net Banking"/>
    <n v="26392.6"/>
    <s v="High"/>
    <n v="14"/>
  </r>
  <r>
    <s v="CUST1053"/>
    <x v="0"/>
    <s v="India"/>
    <s v="Rajasthan"/>
    <n v="9194670146"/>
    <x v="0"/>
    <s v="Shirt"/>
    <n v="1822.28"/>
    <n v="4"/>
    <n v="1973.2"/>
    <s v="Cash"/>
    <n v="7289.12"/>
    <s v="Medium"/>
    <n v="27.07"/>
  </r>
  <r>
    <s v="CUST1054"/>
    <x v="3"/>
    <s v="India"/>
    <s v="Maharashtra"/>
    <n v="9519275644"/>
    <x v="1"/>
    <s v="Sofa"/>
    <n v="600.17999999999995"/>
    <n v="11"/>
    <n v="1525.57"/>
    <s v="Credit Card"/>
    <n v="6601.98"/>
    <s v="Medium"/>
    <n v="23.11"/>
  </r>
  <r>
    <s v="CUST1055"/>
    <x v="1"/>
    <s v="India"/>
    <s v="Maharashtra"/>
    <n v="9520013561"/>
    <x v="0"/>
    <s v="T-shirt"/>
    <n v="2330.36"/>
    <n v="7"/>
    <n v="3532.26"/>
    <s v="Debit Card"/>
    <n v="16312.52"/>
    <s v="High"/>
    <n v="21.65"/>
  </r>
  <r>
    <s v="CUST1056"/>
    <x v="3"/>
    <s v="India"/>
    <s v="Gujarat"/>
    <n v="95989895092"/>
    <x v="2"/>
    <s v="Headphones"/>
    <n v="1084.67"/>
    <n v="13"/>
    <n v="4140.1400000000003"/>
    <s v="Cash"/>
    <n v="14100.71"/>
    <s v="High"/>
    <n v="29.36"/>
  </r>
  <r>
    <s v="CUST1057"/>
    <x v="2"/>
    <s v="India"/>
    <s v="Uttar Pradesh"/>
    <n v="9499862542"/>
    <x v="1"/>
    <s v="Cupboard"/>
    <n v="1893.55"/>
    <n v="12"/>
    <n v="3204.64"/>
    <s v="Net Banking"/>
    <n v="22722.6"/>
    <s v="High"/>
    <n v="14.1"/>
  </r>
  <r>
    <s v="CUST1058"/>
    <x v="3"/>
    <s v="India"/>
    <s v="Gujarat"/>
    <n v="9724136290"/>
    <x v="1"/>
    <s v="Chair"/>
    <n v="1747.22"/>
    <n v="6"/>
    <n v="2678.22"/>
    <s v="Cash"/>
    <n v="10483.32"/>
    <s v="High"/>
    <n v="25.55"/>
  </r>
  <r>
    <s v="CUST1059"/>
    <x v="2"/>
    <s v="India"/>
    <s v="Gujarat"/>
    <n v="9321909198"/>
    <x v="1"/>
    <s v="Bookshelf"/>
    <n v="287.31"/>
    <n v="8"/>
    <n v="381.56"/>
    <s v="Debit Card"/>
    <n v="2298.48"/>
    <s v="Low"/>
    <n v="16.600000000000001"/>
  </r>
  <r>
    <s v="CUST1060"/>
    <x v="3"/>
    <s v="India"/>
    <s v="Maharashtra"/>
    <n v="9760693305"/>
    <x v="0"/>
    <s v="Shirt"/>
    <n v="1700.05"/>
    <n v="2"/>
    <n v="383.92"/>
    <s v="UPI"/>
    <n v="3400.1"/>
    <s v="Low"/>
    <n v="11.29"/>
  </r>
  <r>
    <s v="CUST1061"/>
    <x v="2"/>
    <s v="India"/>
    <s v="Gujarat"/>
    <n v="9658575570"/>
    <x v="1"/>
    <s v="Bookshelf"/>
    <n v="1180.31"/>
    <n v="7"/>
    <n v="847.73"/>
    <s v="UPI"/>
    <n v="8262.17"/>
    <s v="Medium"/>
    <n v="10.26"/>
  </r>
  <r>
    <s v="CUST1062"/>
    <x v="1"/>
    <s v="India"/>
    <s v="Gujarat"/>
    <n v="9950273824"/>
    <x v="1"/>
    <s v="Cupboard"/>
    <n v="653.35"/>
    <n v="4"/>
    <n v="345.46"/>
    <s v="Credit Card"/>
    <n v="2613.4"/>
    <s v="Low"/>
    <n v="13.22"/>
  </r>
  <r>
    <s v="CUST1063"/>
    <x v="1"/>
    <s v="India"/>
    <s v="Tamil Nadu"/>
    <n v="9898816813"/>
    <x v="2"/>
    <s v="Laptop"/>
    <n v="1881.74"/>
    <n v="4"/>
    <n v="1363.83"/>
    <s v="Debit Card"/>
    <n v="7526.96"/>
    <s v="Medium"/>
    <n v="18.12"/>
  </r>
  <r>
    <s v="CUST1064"/>
    <x v="3"/>
    <s v="India"/>
    <s v="Rajasthan"/>
    <n v="9571594565"/>
    <x v="1"/>
    <s v="Table"/>
    <n v="1206.3499999999999"/>
    <n v="15"/>
    <n v="2801.82"/>
    <s v="UPI"/>
    <n v="18095.25"/>
    <s v="High"/>
    <n v="15.48"/>
  </r>
  <r>
    <s v="CUST1065"/>
    <x v="1"/>
    <s v="India"/>
    <s v="Maharashtra"/>
    <n v="9684352160"/>
    <x v="0"/>
    <s v="Jacket"/>
    <n v="1849.95"/>
    <n v="5"/>
    <n v="2111.02"/>
    <s v="Debit Card"/>
    <n v="9249.75"/>
    <s v="Medium"/>
    <n v="22.82"/>
  </r>
  <r>
    <s v="CUST1066"/>
    <x v="0"/>
    <s v="India"/>
    <s v="West Bengal"/>
    <n v="9845713875"/>
    <x v="2"/>
    <s v="Tablet"/>
    <n v="1896.1"/>
    <n v="5"/>
    <n v="2676.46"/>
    <s v="Debit Card"/>
    <n v="9480.5"/>
    <s v="Medium"/>
    <n v="28.23"/>
  </r>
  <r>
    <s v="CUST1067"/>
    <x v="1"/>
    <s v="India"/>
    <s v="Tamil Nadu"/>
    <n v="85"/>
    <x v="1"/>
    <s v="Bookshelf"/>
    <n v="1799.6"/>
    <n v="6"/>
    <n v="1551.79"/>
    <s v="Cash"/>
    <n v="10797.6"/>
    <s v="High"/>
    <n v="14.37"/>
  </r>
  <r>
    <s v="CUST1068"/>
    <x v="3"/>
    <s v="India"/>
    <s v="Karnataka"/>
    <n v="9304184751"/>
    <x v="1"/>
    <s v="Cupboard"/>
    <n v="1330.26"/>
    <n v="2"/>
    <n v="669.54"/>
    <s v="Credit Card"/>
    <n v="2660.52"/>
    <s v="Low"/>
    <n v="25.17"/>
  </r>
  <r>
    <s v="CUST1069"/>
    <x v="3"/>
    <s v="India"/>
    <s v="Rajasthan"/>
    <n v="9141039856"/>
    <x v="2"/>
    <s v="Smartphone"/>
    <n v="322.57"/>
    <n v="13"/>
    <n v="684.45"/>
    <s v="Debit Card"/>
    <n v="4193.41"/>
    <s v="Low"/>
    <n v="16.32"/>
  </r>
  <r>
    <s v="CUST1070"/>
    <x v="2"/>
    <s v="India"/>
    <s v="Tamil Nadu"/>
    <n v="9640589740"/>
    <x v="2"/>
    <s v="Tablet"/>
    <n v="1510.41"/>
    <n v="1"/>
    <n v="434.79"/>
    <s v="Net Banking"/>
    <n v="1510.41"/>
    <s v="Low"/>
    <n v="28.79"/>
  </r>
  <r>
    <s v="CUST1071"/>
    <x v="1"/>
    <s v="India"/>
    <s v="Karnataka"/>
    <n v="9406517796"/>
    <x v="0"/>
    <s v="Dress"/>
    <n v="1085.52"/>
    <n v="4"/>
    <n v="749.57"/>
    <s v="Credit Card"/>
    <n v="4342.08"/>
    <s v="Low"/>
    <n v="17.260000000000002"/>
  </r>
  <r>
    <s v="CUST1072"/>
    <x v="1"/>
    <s v="India"/>
    <s v="Maharashtra"/>
    <n v="9606169051"/>
    <x v="1"/>
    <s v="Table"/>
    <n v="1441.79"/>
    <n v="14"/>
    <n v="3929.03"/>
    <s v="Debit Card"/>
    <n v="20185.060000000001"/>
    <s v="High"/>
    <n v="19.47"/>
  </r>
  <r>
    <s v="CUST1073"/>
    <x v="3"/>
    <s v="India"/>
    <s v="Rajasthan"/>
    <n v="9350461925"/>
    <x v="1"/>
    <s v="Cupboard"/>
    <n v="686.64"/>
    <n v="8"/>
    <n v="878.07"/>
    <s v="Credit Card"/>
    <n v="5493.12"/>
    <s v="Medium"/>
    <n v="15.98"/>
  </r>
  <r>
    <s v="CUST1074"/>
    <x v="0"/>
    <s v="India"/>
    <s v="West Bengal"/>
    <n v="9996467468"/>
    <x v="0"/>
    <s v="Dress"/>
    <n v="2830.64"/>
    <n v="6"/>
    <n v="1830.75"/>
    <s v="Credit Card"/>
    <n v="16983.84"/>
    <s v="High"/>
    <n v="10.78"/>
  </r>
  <r>
    <s v="CUST1075"/>
    <x v="0"/>
    <s v="India"/>
    <s v="Rajasthan"/>
    <n v="9128345710"/>
    <x v="2"/>
    <s v="Headphones"/>
    <n v="2619.08"/>
    <n v="6"/>
    <n v="4245.2299999999996"/>
    <s v="Net Banking"/>
    <n v="15714.48"/>
    <s v="High"/>
    <n v="27.01"/>
  </r>
  <r>
    <s v="CUST1076"/>
    <x v="2"/>
    <s v="India"/>
    <s v="Gujarat"/>
    <n v="9392055351"/>
    <x v="0"/>
    <s v="Jeans"/>
    <n v="503.93"/>
    <n v="11"/>
    <n v="1183.48"/>
    <s v="Cash"/>
    <n v="5543.23"/>
    <s v="Medium"/>
    <n v="21.35"/>
  </r>
  <r>
    <s v="CUST1077"/>
    <x v="1"/>
    <s v="India"/>
    <s v="Tamil Nadu"/>
    <n v="9980141994"/>
    <x v="1"/>
    <s v="Bookshelf"/>
    <n v="467.71"/>
    <n v="12"/>
    <n v="1223.23"/>
    <s v="Credit Card"/>
    <n v="5612.52"/>
    <s v="Medium"/>
    <n v="21.79"/>
  </r>
  <r>
    <s v="CUST1078"/>
    <x v="0"/>
    <s v="India"/>
    <s v="Maharashtra"/>
    <n v="9403999543"/>
    <x v="1"/>
    <s v="Chair"/>
    <n v="2307.34"/>
    <n v="14"/>
    <n v="3571.15"/>
    <s v="Debit Card"/>
    <n v="32302.76"/>
    <s v="High"/>
    <n v="11.06"/>
  </r>
  <r>
    <s v="CUST1079"/>
    <x v="3"/>
    <s v="India"/>
    <s v="Uttar Pradesh"/>
    <n v="9164427200"/>
    <x v="2"/>
    <s v="Tablet"/>
    <n v="1513.57"/>
    <n v="14"/>
    <n v="5761.18"/>
    <s v="Credit Card"/>
    <n v="21189.98"/>
    <s v="High"/>
    <n v="27.19"/>
  </r>
  <r>
    <s v="CUST1080"/>
    <x v="3"/>
    <s v="India"/>
    <s v="Maharashtra"/>
    <n v="858947"/>
    <x v="1"/>
    <s v="Cupboard"/>
    <n v="2213.4499999999998"/>
    <n v="3"/>
    <n v="867.33"/>
    <s v="Debit Card"/>
    <n v="6640.35"/>
    <s v="Medium"/>
    <n v="13.06"/>
  </r>
  <r>
    <s v="CUST1081"/>
    <x v="1"/>
    <s v="India"/>
    <s v="Tamil Nadu"/>
    <n v="9789825611"/>
    <x v="0"/>
    <s v="Dress"/>
    <n v="384.21"/>
    <n v="5"/>
    <n v="354.16"/>
    <s v="Debit Card"/>
    <n v="1921.05"/>
    <s v="Low"/>
    <n v="18.440000000000001"/>
  </r>
  <r>
    <s v="CUST1082"/>
    <x v="2"/>
    <s v="India"/>
    <s v="Maharashtra"/>
    <n v="9371462183"/>
    <x v="2"/>
    <s v="Headphones"/>
    <n v="498.41"/>
    <n v="7"/>
    <n v="435.36"/>
    <s v="UPI"/>
    <n v="3488.87"/>
    <s v="Low"/>
    <n v="12.48"/>
  </r>
  <r>
    <s v="CUST1083"/>
    <x v="3"/>
    <s v="India"/>
    <s v="Maharashtra"/>
    <n v="9444893207"/>
    <x v="0"/>
    <s v="Dress"/>
    <n v="1599.24"/>
    <n v="10"/>
    <n v="4368.75"/>
    <s v="UPI"/>
    <n v="15992.4"/>
    <s v="High"/>
    <n v="27.32"/>
  </r>
  <r>
    <s v="CUST1084"/>
    <x v="0"/>
    <s v="India"/>
    <s v="Rajasthan"/>
    <n v="9339358166"/>
    <x v="1"/>
    <s v="Sofa"/>
    <n v="962.07"/>
    <n v="9"/>
    <n v="905.89"/>
    <s v="UPI"/>
    <n v="8658.6299999999992"/>
    <s v="Medium"/>
    <n v="10.46"/>
  </r>
  <r>
    <s v="CUST1085"/>
    <x v="0"/>
    <s v="India"/>
    <s v="West Bengal"/>
    <n v="9119201960"/>
    <x v="1"/>
    <s v="Bookshelf"/>
    <n v="1673.22"/>
    <n v="7"/>
    <n v="1935.04"/>
    <s v="Debit Card"/>
    <n v="11712.54"/>
    <s v="High"/>
    <n v="16.52"/>
  </r>
  <r>
    <s v="CUST1086"/>
    <x v="0"/>
    <s v="India"/>
    <s v="Tamil Nadu"/>
    <n v="9161700373"/>
    <x v="0"/>
    <s v="T-shirt"/>
    <n v="791.24"/>
    <n v="4"/>
    <n v="366.17"/>
    <s v="UPI"/>
    <n v="3164.96"/>
    <s v="Low"/>
    <n v="11.57"/>
  </r>
  <r>
    <s v="CUST1087"/>
    <x v="1"/>
    <s v="India"/>
    <s v="Uttar Pradesh"/>
    <n v="9242580997"/>
    <x v="0"/>
    <s v="Jeans"/>
    <n v="1210.8599999999999"/>
    <n v="3"/>
    <n v="698.75"/>
    <s v="UPI"/>
    <n v="3632.58"/>
    <s v="Low"/>
    <n v="19.239999999999998"/>
  </r>
  <r>
    <s v="CUST1088"/>
    <x v="3"/>
    <s v="India"/>
    <s v="Gujarat"/>
    <n v="9370714466"/>
    <x v="0"/>
    <s v="T-shirt"/>
    <n v="619.57000000000005"/>
    <n v="7"/>
    <n v="562.75"/>
    <s v="UPI"/>
    <n v="4336.99"/>
    <s v="Low"/>
    <n v="12.98"/>
  </r>
  <r>
    <s v="CUST1089"/>
    <x v="0"/>
    <s v="India"/>
    <s v="Maharashtra"/>
    <n v="9427647839"/>
    <x v="2"/>
    <s v="Monitor"/>
    <n v="308.5"/>
    <n v="15"/>
    <n v="802.96"/>
    <s v="Credit Card"/>
    <n v="4627.5"/>
    <s v="Low"/>
    <n v="17.350000000000001"/>
  </r>
  <r>
    <s v="CUST1090"/>
    <x v="2"/>
    <s v="India"/>
    <s v="Maharashtra"/>
    <n v="9942075195"/>
    <x v="0"/>
    <s v="Dress"/>
    <n v="1853.37"/>
    <n v="5"/>
    <n v="1661.2"/>
    <s v="Credit Card"/>
    <n v="9266.85"/>
    <s v="Medium"/>
    <n v="17.93"/>
  </r>
  <r>
    <s v="CUST1091"/>
    <x v="1"/>
    <s v="India"/>
    <s v="Rajasthan"/>
    <n v="9857569233"/>
    <x v="0"/>
    <s v="Jacket"/>
    <n v="2501.48"/>
    <n v="6"/>
    <n v="4142.5200000000004"/>
    <s v="Net Banking"/>
    <n v="15008.88"/>
    <s v="High"/>
    <n v="27.6"/>
  </r>
  <r>
    <s v="CUST1092"/>
    <x v="1"/>
    <s v="India"/>
    <s v="Karnataka"/>
    <n v="9944969047"/>
    <x v="2"/>
    <s v="Laptop"/>
    <n v="2596.13"/>
    <n v="5"/>
    <n v="1453.33"/>
    <s v="Net Banking"/>
    <n v="12980.65"/>
    <s v="High"/>
    <n v="11.2"/>
  </r>
  <r>
    <s v="CUST1093"/>
    <x v="0"/>
    <s v="India"/>
    <s v="West Bengal"/>
    <n v="56428436"/>
    <x v="2"/>
    <s v="Headphones"/>
    <n v="2209.52"/>
    <n v="6"/>
    <n v="3760.49"/>
    <s v="Net Banking"/>
    <n v="13257.12"/>
    <s v="High"/>
    <n v="28.37"/>
  </r>
  <r>
    <s v="CUST1094"/>
    <x v="2"/>
    <s v="India"/>
    <s v="Gujarat"/>
    <n v="9705241364"/>
    <x v="1"/>
    <s v="Sofa"/>
    <n v="458.7"/>
    <n v="7"/>
    <n v="839.97"/>
    <s v="Net Banking"/>
    <n v="3210.9"/>
    <s v="Low"/>
    <n v="26.16"/>
  </r>
  <r>
    <s v="CUST1095"/>
    <x v="2"/>
    <s v="India"/>
    <s v="Karnataka"/>
    <n v="9245776255"/>
    <x v="0"/>
    <s v="Jeans"/>
    <n v="833.16"/>
    <n v="12"/>
    <n v="2135.63"/>
    <s v="Net Banking"/>
    <n v="9997.92"/>
    <s v="Medium"/>
    <n v="21.36"/>
  </r>
  <r>
    <s v="CUST1096"/>
    <x v="2"/>
    <s v="India"/>
    <s v="Uttar Pradesh"/>
    <n v="9881212856"/>
    <x v="0"/>
    <s v="Jeans"/>
    <n v="238.37"/>
    <n v="13"/>
    <n v="586.94000000000005"/>
    <s v="Net Banking"/>
    <n v="3098.81"/>
    <s v="Low"/>
    <n v="18.940000000000001"/>
  </r>
  <r>
    <s v="CUST1097"/>
    <x v="0"/>
    <s v="India"/>
    <s v="Gujarat"/>
    <n v="9916091858"/>
    <x v="0"/>
    <s v="Dress"/>
    <n v="820.05"/>
    <n v="3"/>
    <n v="419.41"/>
    <s v="UPI"/>
    <n v="2460.15"/>
    <s v="Low"/>
    <n v="17.05"/>
  </r>
  <r>
    <s v="CUST1098"/>
    <x v="3"/>
    <s v="India"/>
    <s v="Karnataka"/>
    <n v="9425191872"/>
    <x v="2"/>
    <s v="Headphones"/>
    <n v="2716.33"/>
    <n v="8"/>
    <n v="5513.14"/>
    <s v="Net Banking"/>
    <n v="21730.639999999999"/>
    <s v="High"/>
    <n v="25.37"/>
  </r>
  <r>
    <s v="CUST1099"/>
    <x v="3"/>
    <s v="India"/>
    <s v="Uttar Pradesh"/>
    <n v="9459337548"/>
    <x v="0"/>
    <s v="Jacket"/>
    <n v="1918.81"/>
    <n v="1"/>
    <n v="442.75"/>
    <s v="Cash"/>
    <n v="1918.81"/>
    <s v="Low"/>
    <n v="23.07"/>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ID0001"/>
    <d v="2024-01-01T00:00:00"/>
    <x v="0"/>
    <s v="Overturn"/>
    <x v="0"/>
    <x v="0"/>
    <x v="0"/>
    <x v="0"/>
    <x v="0"/>
    <n v="0"/>
  </r>
  <r>
    <s v="AID0002"/>
    <d v="2024-03-29T00:00:00"/>
    <x v="1"/>
    <s v="Overturn"/>
    <x v="0"/>
    <x v="1"/>
    <x v="1"/>
    <x v="0"/>
    <x v="1"/>
    <n v="0"/>
  </r>
  <r>
    <s v="AID0003"/>
    <d v="2024-01-05T00:00:00"/>
    <x v="1"/>
    <s v="Overturn"/>
    <x v="1"/>
    <x v="2"/>
    <x v="2"/>
    <x v="1"/>
    <x v="0"/>
    <n v="3"/>
  </r>
  <r>
    <s v="AID0004"/>
    <d v="2024-06-02T00:00:00"/>
    <x v="2"/>
    <s v="Collision"/>
    <x v="2"/>
    <x v="0"/>
    <x v="0"/>
    <x v="1"/>
    <x v="2"/>
    <n v="4"/>
  </r>
  <r>
    <s v="AID0005"/>
    <d v="2024-02-28T00:00:00"/>
    <x v="3"/>
    <s v="Animal Hit"/>
    <x v="0"/>
    <x v="0"/>
    <x v="1"/>
    <x v="0"/>
    <x v="3"/>
    <n v="0"/>
  </r>
  <r>
    <s v="AID0006"/>
    <d v="2024-04-17T00:00:00"/>
    <x v="3"/>
    <s v="Animal Hit"/>
    <x v="3"/>
    <x v="3"/>
    <x v="1"/>
    <x v="2"/>
    <x v="4"/>
    <n v="4"/>
  </r>
  <r>
    <s v="AID0007"/>
    <d v="2024-02-16T00:00:00"/>
    <x v="4"/>
    <s v="Animal Hit"/>
    <x v="3"/>
    <x v="3"/>
    <x v="0"/>
    <x v="2"/>
    <x v="5"/>
    <n v="2"/>
  </r>
  <r>
    <s v="AID0008"/>
    <d v="2024-03-18T00:00:00"/>
    <x v="0"/>
    <s v="Overturn"/>
    <x v="3"/>
    <x v="1"/>
    <x v="3"/>
    <x v="0"/>
    <x v="5"/>
    <n v="5"/>
  </r>
  <r>
    <s v="AID0009"/>
    <d v="2024-05-13T00:00:00"/>
    <x v="1"/>
    <s v="Collision"/>
    <x v="3"/>
    <x v="2"/>
    <x v="2"/>
    <x v="2"/>
    <x v="3"/>
    <n v="2"/>
  </r>
  <r>
    <s v="AID0010"/>
    <d v="2024-01-16T00:00:00"/>
    <x v="5"/>
    <s v="Collision"/>
    <x v="4"/>
    <x v="0"/>
    <x v="2"/>
    <x v="3"/>
    <x v="5"/>
    <n v="5"/>
  </r>
  <r>
    <s v="AID0011"/>
    <d v="2024-01-08T00:00:00"/>
    <x v="2"/>
    <s v="Object Hit"/>
    <x v="0"/>
    <x v="0"/>
    <x v="1"/>
    <x v="1"/>
    <x v="0"/>
    <n v="0"/>
  </r>
  <r>
    <s v="AID0012"/>
    <d v="2024-06-25T00:00:00"/>
    <x v="5"/>
    <s v="Pedestrian Hit"/>
    <x v="3"/>
    <x v="0"/>
    <x v="2"/>
    <x v="3"/>
    <x v="0"/>
    <n v="3"/>
  </r>
  <r>
    <s v="AID0013"/>
    <d v="2024-03-29T00:00:00"/>
    <x v="3"/>
    <s v="Pedestrian Hit"/>
    <x v="1"/>
    <x v="3"/>
    <x v="3"/>
    <x v="3"/>
    <x v="5"/>
    <n v="1"/>
  </r>
  <r>
    <s v="AID0014"/>
    <d v="2024-04-02T00:00:00"/>
    <x v="6"/>
    <s v="Overturn"/>
    <x v="5"/>
    <x v="1"/>
    <x v="0"/>
    <x v="3"/>
    <x v="4"/>
    <n v="2"/>
  </r>
  <r>
    <s v="AID0015"/>
    <d v="2024-03-27T00:00:00"/>
    <x v="6"/>
    <s v="Pedestrian Hit"/>
    <x v="4"/>
    <x v="1"/>
    <x v="2"/>
    <x v="0"/>
    <x v="2"/>
    <n v="1"/>
  </r>
  <r>
    <s v="AID0016"/>
    <d v="2024-05-19T00:00:00"/>
    <x v="6"/>
    <s v="Overturn"/>
    <x v="2"/>
    <x v="1"/>
    <x v="1"/>
    <x v="3"/>
    <x v="1"/>
    <n v="5"/>
  </r>
  <r>
    <s v="AID0017"/>
    <d v="2024-03-03T00:00:00"/>
    <x v="0"/>
    <s v="Collision"/>
    <x v="4"/>
    <x v="2"/>
    <x v="2"/>
    <x v="0"/>
    <x v="1"/>
    <n v="4"/>
  </r>
  <r>
    <s v="AID0018"/>
    <d v="2024-03-08T00:00:00"/>
    <x v="7"/>
    <s v="Overturn"/>
    <x v="3"/>
    <x v="2"/>
    <x v="2"/>
    <x v="0"/>
    <x v="2"/>
    <n v="3"/>
  </r>
  <r>
    <s v="AID0019"/>
    <d v="2024-06-26T00:00:00"/>
    <x v="4"/>
    <s v="Overturn"/>
    <x v="4"/>
    <x v="3"/>
    <x v="3"/>
    <x v="3"/>
    <x v="4"/>
    <n v="4"/>
  </r>
  <r>
    <s v="AID0020"/>
    <d v="2024-01-26T00:00:00"/>
    <x v="4"/>
    <s v="Collision"/>
    <x v="1"/>
    <x v="3"/>
    <x v="1"/>
    <x v="0"/>
    <x v="2"/>
    <n v="5"/>
  </r>
  <r>
    <s v="AID0021"/>
    <d v="2024-02-05T00:00:00"/>
    <x v="2"/>
    <s v="Animal Hit"/>
    <x v="4"/>
    <x v="2"/>
    <x v="1"/>
    <x v="2"/>
    <x v="1"/>
    <n v="5"/>
  </r>
  <r>
    <s v="AID0022"/>
    <d v="2024-06-07T00:00:00"/>
    <x v="0"/>
    <s v="Object Hit"/>
    <x v="2"/>
    <x v="1"/>
    <x v="2"/>
    <x v="1"/>
    <x v="3"/>
    <n v="4"/>
  </r>
  <r>
    <s v="AID0023"/>
    <d v="2024-03-27T00:00:00"/>
    <x v="6"/>
    <s v="Collision"/>
    <x v="1"/>
    <x v="3"/>
    <x v="2"/>
    <x v="3"/>
    <x v="3"/>
    <n v="4"/>
  </r>
  <r>
    <s v="AID0024"/>
    <d v="2024-02-24T00:00:00"/>
    <x v="1"/>
    <s v="Object Hit"/>
    <x v="2"/>
    <x v="3"/>
    <x v="0"/>
    <x v="0"/>
    <x v="0"/>
    <n v="0"/>
  </r>
  <r>
    <s v="AID0025"/>
    <d v="2024-06-04T00:00:00"/>
    <x v="4"/>
    <s v="Animal Hit"/>
    <x v="4"/>
    <x v="3"/>
    <x v="1"/>
    <x v="1"/>
    <x v="4"/>
    <n v="1"/>
  </r>
  <r>
    <s v="AID0026"/>
    <d v="2024-05-30T00:00:00"/>
    <x v="2"/>
    <s v="Collision"/>
    <x v="5"/>
    <x v="0"/>
    <x v="1"/>
    <x v="0"/>
    <x v="3"/>
    <n v="0"/>
  </r>
  <r>
    <s v="AID0027"/>
    <d v="2024-04-04T00:00:00"/>
    <x v="0"/>
    <s v="Pedestrian Hit"/>
    <x v="3"/>
    <x v="2"/>
    <x v="3"/>
    <x v="1"/>
    <x v="0"/>
    <n v="0"/>
  </r>
  <r>
    <s v="AID0028"/>
    <d v="2024-05-10T00:00:00"/>
    <x v="0"/>
    <s v="Overturn"/>
    <x v="1"/>
    <x v="1"/>
    <x v="0"/>
    <x v="3"/>
    <x v="2"/>
    <n v="4"/>
  </r>
  <r>
    <s v="AID0029"/>
    <d v="2024-03-02T00:00:00"/>
    <x v="6"/>
    <s v="Animal Hit"/>
    <x v="0"/>
    <x v="3"/>
    <x v="1"/>
    <x v="3"/>
    <x v="3"/>
    <n v="4"/>
  </r>
  <r>
    <s v="AID0030"/>
    <d v="2024-04-16T00:00:00"/>
    <x v="2"/>
    <s v="Pedestrian Hit"/>
    <x v="3"/>
    <x v="1"/>
    <x v="2"/>
    <x v="3"/>
    <x v="1"/>
    <n v="0"/>
  </r>
  <r>
    <s v="AID0031"/>
    <d v="2024-06-09T00:00:00"/>
    <x v="7"/>
    <s v="Object Hit"/>
    <x v="4"/>
    <x v="3"/>
    <x v="3"/>
    <x v="3"/>
    <x v="0"/>
    <n v="5"/>
  </r>
  <r>
    <s v="AID0032"/>
    <d v="2024-02-25T00:00:00"/>
    <x v="6"/>
    <s v="Pedestrian Hit"/>
    <x v="0"/>
    <x v="3"/>
    <x v="1"/>
    <x v="1"/>
    <x v="4"/>
    <n v="2"/>
  </r>
  <r>
    <s v="AID0033"/>
    <d v="2024-06-24T00:00:00"/>
    <x v="2"/>
    <s v="Object Hit"/>
    <x v="0"/>
    <x v="2"/>
    <x v="1"/>
    <x v="1"/>
    <x v="1"/>
    <n v="1"/>
  </r>
  <r>
    <s v="AID0034"/>
    <d v="2024-04-21T00:00:00"/>
    <x v="7"/>
    <s v="Animal Hit"/>
    <x v="1"/>
    <x v="0"/>
    <x v="2"/>
    <x v="2"/>
    <x v="4"/>
    <n v="1"/>
  </r>
  <r>
    <s v="AID0035"/>
    <d v="2024-01-02T00:00:00"/>
    <x v="1"/>
    <s v="Overturn"/>
    <x v="2"/>
    <x v="0"/>
    <x v="3"/>
    <x v="3"/>
    <x v="5"/>
    <n v="3"/>
  </r>
  <r>
    <s v="AID0036"/>
    <d v="2024-05-24T00:00:00"/>
    <x v="7"/>
    <s v="Animal Hit"/>
    <x v="0"/>
    <x v="0"/>
    <x v="3"/>
    <x v="0"/>
    <x v="1"/>
    <n v="4"/>
  </r>
  <r>
    <s v="AID0037"/>
    <d v="2024-01-26T00:00:00"/>
    <x v="5"/>
    <s v="Object Hit"/>
    <x v="4"/>
    <x v="0"/>
    <x v="2"/>
    <x v="2"/>
    <x v="0"/>
    <n v="5"/>
  </r>
  <r>
    <s v="AID0038"/>
    <d v="2024-01-23T00:00:00"/>
    <x v="3"/>
    <s v="Overturn"/>
    <x v="0"/>
    <x v="2"/>
    <x v="2"/>
    <x v="3"/>
    <x v="5"/>
    <n v="0"/>
  </r>
  <r>
    <s v="AID0039"/>
    <d v="2024-04-26T00:00:00"/>
    <x v="2"/>
    <s v="Animal Hit"/>
    <x v="3"/>
    <x v="1"/>
    <x v="2"/>
    <x v="1"/>
    <x v="5"/>
    <n v="2"/>
  </r>
  <r>
    <s v="AID0040"/>
    <d v="2024-03-14T00:00:00"/>
    <x v="0"/>
    <s v="Overturn"/>
    <x v="0"/>
    <x v="3"/>
    <x v="1"/>
    <x v="1"/>
    <x v="3"/>
    <n v="1"/>
  </r>
  <r>
    <s v="AID0041"/>
    <d v="2024-01-10T00:00:00"/>
    <x v="0"/>
    <s v="Animal Hit"/>
    <x v="0"/>
    <x v="0"/>
    <x v="3"/>
    <x v="2"/>
    <x v="2"/>
    <n v="4"/>
  </r>
  <r>
    <s v="AID0042"/>
    <d v="2024-04-28T00:00:00"/>
    <x v="1"/>
    <s v="Collision"/>
    <x v="3"/>
    <x v="1"/>
    <x v="2"/>
    <x v="2"/>
    <x v="5"/>
    <n v="2"/>
  </r>
  <r>
    <s v="AID0043"/>
    <d v="2024-01-23T00:00:00"/>
    <x v="3"/>
    <s v="Overturn"/>
    <x v="1"/>
    <x v="2"/>
    <x v="2"/>
    <x v="2"/>
    <x v="2"/>
    <n v="2"/>
  </r>
  <r>
    <s v="AID0044"/>
    <d v="2024-03-19T00:00:00"/>
    <x v="0"/>
    <s v="Animal Hit"/>
    <x v="3"/>
    <x v="2"/>
    <x v="3"/>
    <x v="1"/>
    <x v="3"/>
    <n v="4"/>
  </r>
  <r>
    <s v="AID0045"/>
    <d v="2024-03-20T00:00:00"/>
    <x v="0"/>
    <s v="Overturn"/>
    <x v="5"/>
    <x v="0"/>
    <x v="3"/>
    <x v="3"/>
    <x v="2"/>
    <n v="3"/>
  </r>
  <r>
    <s v="AID0046"/>
    <d v="2024-05-05T00:00:00"/>
    <x v="1"/>
    <s v="Animal Hit"/>
    <x v="4"/>
    <x v="3"/>
    <x v="0"/>
    <x v="2"/>
    <x v="5"/>
    <n v="0"/>
  </r>
  <r>
    <s v="AID0047"/>
    <d v="2024-04-20T00:00:00"/>
    <x v="0"/>
    <s v="Overturn"/>
    <x v="3"/>
    <x v="1"/>
    <x v="0"/>
    <x v="3"/>
    <x v="0"/>
    <n v="1"/>
  </r>
  <r>
    <s v="AID0048"/>
    <d v="2024-06-23T00:00:00"/>
    <x v="6"/>
    <s v="Animal Hit"/>
    <x v="4"/>
    <x v="3"/>
    <x v="3"/>
    <x v="1"/>
    <x v="4"/>
    <n v="0"/>
  </r>
  <r>
    <s v="AID0049"/>
    <d v="2024-03-18T00:00:00"/>
    <x v="7"/>
    <s v="Collision"/>
    <x v="4"/>
    <x v="0"/>
    <x v="0"/>
    <x v="0"/>
    <x v="3"/>
    <n v="5"/>
  </r>
  <r>
    <s v="AID0050"/>
    <d v="2024-05-24T00:00:00"/>
    <x v="3"/>
    <s v="Pedestrian Hit"/>
    <x v="2"/>
    <x v="1"/>
    <x v="1"/>
    <x v="2"/>
    <x v="5"/>
    <n v="2"/>
  </r>
  <r>
    <s v="AID0051"/>
    <d v="2024-04-01T00:00:00"/>
    <x v="5"/>
    <s v="Collision"/>
    <x v="1"/>
    <x v="2"/>
    <x v="0"/>
    <x v="0"/>
    <x v="4"/>
    <n v="0"/>
  </r>
  <r>
    <s v="AID0052"/>
    <d v="2024-02-25T00:00:00"/>
    <x v="4"/>
    <s v="Animal Hit"/>
    <x v="2"/>
    <x v="1"/>
    <x v="1"/>
    <x v="3"/>
    <x v="3"/>
    <n v="2"/>
  </r>
  <r>
    <s v="AID0053"/>
    <d v="2024-01-20T00:00:00"/>
    <x v="7"/>
    <s v="Pedestrian Hit"/>
    <x v="3"/>
    <x v="2"/>
    <x v="2"/>
    <x v="0"/>
    <x v="4"/>
    <n v="3"/>
  </r>
  <r>
    <s v="AID0054"/>
    <d v="2024-02-23T00:00:00"/>
    <x v="0"/>
    <s v="Animal Hit"/>
    <x v="2"/>
    <x v="2"/>
    <x v="0"/>
    <x v="3"/>
    <x v="4"/>
    <n v="5"/>
  </r>
  <r>
    <s v="AID0055"/>
    <d v="2024-05-21T00:00:00"/>
    <x v="0"/>
    <s v="Overturn"/>
    <x v="0"/>
    <x v="0"/>
    <x v="1"/>
    <x v="0"/>
    <x v="2"/>
    <n v="4"/>
  </r>
  <r>
    <s v="AID0056"/>
    <d v="2024-03-23T00:00:00"/>
    <x v="3"/>
    <s v="Overturn"/>
    <x v="5"/>
    <x v="1"/>
    <x v="2"/>
    <x v="0"/>
    <x v="4"/>
    <n v="3"/>
  </r>
  <r>
    <s v="AID0057"/>
    <d v="2024-05-21T00:00:00"/>
    <x v="3"/>
    <s v="Overturn"/>
    <x v="5"/>
    <x v="2"/>
    <x v="2"/>
    <x v="2"/>
    <x v="5"/>
    <n v="5"/>
  </r>
  <r>
    <s v="AID0058"/>
    <d v="2024-03-16T00:00:00"/>
    <x v="0"/>
    <s v="Collision"/>
    <x v="0"/>
    <x v="1"/>
    <x v="3"/>
    <x v="2"/>
    <x v="2"/>
    <n v="2"/>
  </r>
  <r>
    <s v="AID0059"/>
    <d v="2024-01-26T00:00:00"/>
    <x v="1"/>
    <s v="Collision"/>
    <x v="3"/>
    <x v="1"/>
    <x v="2"/>
    <x v="1"/>
    <x v="5"/>
    <n v="4"/>
  </r>
  <r>
    <s v="AID0060"/>
    <d v="2024-05-14T00:00:00"/>
    <x v="2"/>
    <s v="Overturn"/>
    <x v="3"/>
    <x v="3"/>
    <x v="0"/>
    <x v="1"/>
    <x v="4"/>
    <n v="2"/>
  </r>
  <r>
    <s v="AID0061"/>
    <d v="2024-05-11T00:00:00"/>
    <x v="0"/>
    <s v="Animal Hit"/>
    <x v="1"/>
    <x v="1"/>
    <x v="2"/>
    <x v="1"/>
    <x v="2"/>
    <n v="5"/>
  </r>
  <r>
    <s v="AID0062"/>
    <d v="2024-03-04T00:00:00"/>
    <x v="1"/>
    <s v="Collision"/>
    <x v="4"/>
    <x v="1"/>
    <x v="1"/>
    <x v="2"/>
    <x v="5"/>
    <n v="5"/>
  </r>
  <r>
    <s v="AID0063"/>
    <d v="2024-06-10T00:00:00"/>
    <x v="6"/>
    <s v="Animal Hit"/>
    <x v="0"/>
    <x v="0"/>
    <x v="2"/>
    <x v="3"/>
    <x v="2"/>
    <n v="1"/>
  </r>
  <r>
    <s v="AID0064"/>
    <d v="2024-01-10T00:00:00"/>
    <x v="7"/>
    <s v="Overturn"/>
    <x v="5"/>
    <x v="3"/>
    <x v="2"/>
    <x v="3"/>
    <x v="5"/>
    <n v="4"/>
  </r>
  <r>
    <s v="AID0065"/>
    <d v="2024-03-09T00:00:00"/>
    <x v="2"/>
    <s v="Pedestrian Hit"/>
    <x v="0"/>
    <x v="2"/>
    <x v="0"/>
    <x v="2"/>
    <x v="1"/>
    <n v="1"/>
  </r>
  <r>
    <s v="AID0066"/>
    <d v="2024-03-16T00:00:00"/>
    <x v="5"/>
    <s v="Overturn"/>
    <x v="4"/>
    <x v="2"/>
    <x v="3"/>
    <x v="2"/>
    <x v="0"/>
    <n v="2"/>
  </r>
  <r>
    <s v="AID0067"/>
    <d v="2024-02-15T00:00:00"/>
    <x v="3"/>
    <s v="Collision"/>
    <x v="1"/>
    <x v="0"/>
    <x v="3"/>
    <x v="1"/>
    <x v="5"/>
    <n v="1"/>
  </r>
  <r>
    <s v="AID0068"/>
    <d v="2024-05-05T00:00:00"/>
    <x v="3"/>
    <s v="Overturn"/>
    <x v="1"/>
    <x v="2"/>
    <x v="1"/>
    <x v="0"/>
    <x v="4"/>
    <n v="3"/>
  </r>
  <r>
    <s v="AID0069"/>
    <d v="2024-04-26T00:00:00"/>
    <x v="1"/>
    <s v="Animal Hit"/>
    <x v="4"/>
    <x v="3"/>
    <x v="2"/>
    <x v="0"/>
    <x v="0"/>
    <n v="0"/>
  </r>
  <r>
    <s v="AID0070"/>
    <d v="2024-01-11T00:00:00"/>
    <x v="7"/>
    <s v="Animal Hit"/>
    <x v="1"/>
    <x v="1"/>
    <x v="1"/>
    <x v="2"/>
    <x v="5"/>
    <n v="4"/>
  </r>
  <r>
    <s v="AID0071"/>
    <d v="2024-05-18T00:00:00"/>
    <x v="6"/>
    <s v="Object Hit"/>
    <x v="3"/>
    <x v="0"/>
    <x v="0"/>
    <x v="2"/>
    <x v="0"/>
    <n v="2"/>
  </r>
  <r>
    <s v="AID0072"/>
    <d v="2024-06-05T00:00:00"/>
    <x v="1"/>
    <s v="Animal Hit"/>
    <x v="5"/>
    <x v="3"/>
    <x v="0"/>
    <x v="3"/>
    <x v="4"/>
    <n v="4"/>
  </r>
  <r>
    <s v="AID0073"/>
    <d v="2024-03-01T00:00:00"/>
    <x v="3"/>
    <s v="Animal Hit"/>
    <x v="4"/>
    <x v="2"/>
    <x v="0"/>
    <x v="2"/>
    <x v="3"/>
    <n v="1"/>
  </r>
  <r>
    <s v="AID0074"/>
    <d v="2024-06-17T00:00:00"/>
    <x v="3"/>
    <s v="Animal Hit"/>
    <x v="3"/>
    <x v="0"/>
    <x v="3"/>
    <x v="1"/>
    <x v="4"/>
    <n v="3"/>
  </r>
  <r>
    <s v="AID0075"/>
    <d v="2024-04-17T00:00:00"/>
    <x v="7"/>
    <s v="Pedestrian Hit"/>
    <x v="5"/>
    <x v="3"/>
    <x v="1"/>
    <x v="0"/>
    <x v="1"/>
    <n v="4"/>
  </r>
  <r>
    <s v="AID0076"/>
    <d v="2024-05-25T00:00:00"/>
    <x v="3"/>
    <s v="Object Hit"/>
    <x v="2"/>
    <x v="3"/>
    <x v="0"/>
    <x v="1"/>
    <x v="3"/>
    <n v="4"/>
  </r>
  <r>
    <s v="AID0077"/>
    <d v="2024-02-08T00:00:00"/>
    <x v="6"/>
    <s v="Object Hit"/>
    <x v="2"/>
    <x v="0"/>
    <x v="2"/>
    <x v="2"/>
    <x v="2"/>
    <n v="2"/>
  </r>
  <r>
    <s v="AID0078"/>
    <d v="2024-03-31T00:00:00"/>
    <x v="6"/>
    <s v="Pedestrian Hit"/>
    <x v="3"/>
    <x v="0"/>
    <x v="1"/>
    <x v="1"/>
    <x v="0"/>
    <n v="0"/>
  </r>
  <r>
    <s v="AID0079"/>
    <d v="2024-02-07T00:00:00"/>
    <x v="1"/>
    <s v="Collision"/>
    <x v="5"/>
    <x v="0"/>
    <x v="3"/>
    <x v="2"/>
    <x v="0"/>
    <n v="5"/>
  </r>
  <r>
    <s v="AID0080"/>
    <d v="2024-03-24T00:00:00"/>
    <x v="5"/>
    <s v="Overturn"/>
    <x v="0"/>
    <x v="3"/>
    <x v="0"/>
    <x v="2"/>
    <x v="1"/>
    <n v="4"/>
  </r>
  <r>
    <s v="AID0081"/>
    <d v="2024-01-29T00:00:00"/>
    <x v="4"/>
    <s v="Collision"/>
    <x v="3"/>
    <x v="0"/>
    <x v="0"/>
    <x v="3"/>
    <x v="1"/>
    <n v="0"/>
  </r>
  <r>
    <s v="AID0082"/>
    <d v="2024-04-22T00:00:00"/>
    <x v="5"/>
    <s v="Collision"/>
    <x v="5"/>
    <x v="2"/>
    <x v="3"/>
    <x v="1"/>
    <x v="0"/>
    <n v="3"/>
  </r>
  <r>
    <s v="AID0083"/>
    <d v="2024-05-12T00:00:00"/>
    <x v="1"/>
    <s v="Object Hit"/>
    <x v="4"/>
    <x v="2"/>
    <x v="1"/>
    <x v="0"/>
    <x v="3"/>
    <n v="4"/>
  </r>
  <r>
    <s v="AID0084"/>
    <d v="2024-01-28T00:00:00"/>
    <x v="2"/>
    <s v="Overturn"/>
    <x v="4"/>
    <x v="3"/>
    <x v="2"/>
    <x v="3"/>
    <x v="2"/>
    <n v="2"/>
  </r>
  <r>
    <s v="AID0085"/>
    <d v="2024-01-17T00:00:00"/>
    <x v="4"/>
    <s v="Animal Hit"/>
    <x v="2"/>
    <x v="1"/>
    <x v="3"/>
    <x v="3"/>
    <x v="5"/>
    <n v="3"/>
  </r>
  <r>
    <s v="AID0086"/>
    <d v="2024-01-11T00:00:00"/>
    <x v="7"/>
    <s v="Animal Hit"/>
    <x v="3"/>
    <x v="0"/>
    <x v="0"/>
    <x v="3"/>
    <x v="4"/>
    <n v="2"/>
  </r>
  <r>
    <s v="AID0087"/>
    <d v="2024-06-14T00:00:00"/>
    <x v="5"/>
    <s v="Animal Hit"/>
    <x v="4"/>
    <x v="2"/>
    <x v="3"/>
    <x v="0"/>
    <x v="2"/>
    <n v="1"/>
  </r>
  <r>
    <s v="AID0088"/>
    <d v="2024-03-22T00:00:00"/>
    <x v="0"/>
    <s v="Object Hit"/>
    <x v="1"/>
    <x v="2"/>
    <x v="0"/>
    <x v="0"/>
    <x v="3"/>
    <n v="2"/>
  </r>
  <r>
    <s v="AID0089"/>
    <d v="2024-06-02T00:00:00"/>
    <x v="6"/>
    <s v="Object Hit"/>
    <x v="0"/>
    <x v="1"/>
    <x v="0"/>
    <x v="2"/>
    <x v="5"/>
    <n v="0"/>
  </r>
  <r>
    <s v="AID0090"/>
    <d v="2024-01-03T00:00:00"/>
    <x v="1"/>
    <s v="Collision"/>
    <x v="3"/>
    <x v="0"/>
    <x v="0"/>
    <x v="3"/>
    <x v="0"/>
    <n v="1"/>
  </r>
  <r>
    <s v="AID0091"/>
    <d v="2024-06-15T00:00:00"/>
    <x v="7"/>
    <s v="Pedestrian Hit"/>
    <x v="0"/>
    <x v="1"/>
    <x v="2"/>
    <x v="1"/>
    <x v="5"/>
    <n v="4"/>
  </r>
  <r>
    <s v="AID0092"/>
    <d v="2024-03-18T00:00:00"/>
    <x v="0"/>
    <s v="Collision"/>
    <x v="5"/>
    <x v="0"/>
    <x v="1"/>
    <x v="1"/>
    <x v="1"/>
    <n v="1"/>
  </r>
  <r>
    <s v="AID0093"/>
    <d v="2024-04-07T00:00:00"/>
    <x v="2"/>
    <s v="Pedestrian Hit"/>
    <x v="4"/>
    <x v="1"/>
    <x v="3"/>
    <x v="3"/>
    <x v="1"/>
    <n v="5"/>
  </r>
  <r>
    <s v="AID0094"/>
    <d v="2024-06-13T00:00:00"/>
    <x v="7"/>
    <s v="Animal Hit"/>
    <x v="1"/>
    <x v="0"/>
    <x v="1"/>
    <x v="1"/>
    <x v="1"/>
    <n v="0"/>
  </r>
  <r>
    <s v="AID0095"/>
    <d v="2024-02-20T00:00:00"/>
    <x v="1"/>
    <s v="Collision"/>
    <x v="1"/>
    <x v="0"/>
    <x v="1"/>
    <x v="2"/>
    <x v="4"/>
    <n v="3"/>
  </r>
  <r>
    <s v="AID0096"/>
    <d v="2024-01-22T00:00:00"/>
    <x v="3"/>
    <s v="Animal Hit"/>
    <x v="3"/>
    <x v="0"/>
    <x v="2"/>
    <x v="2"/>
    <x v="4"/>
    <n v="5"/>
  </r>
  <r>
    <s v="AID0097"/>
    <d v="2024-04-21T00:00:00"/>
    <x v="4"/>
    <s v="Object Hit"/>
    <x v="2"/>
    <x v="2"/>
    <x v="1"/>
    <x v="1"/>
    <x v="4"/>
    <n v="3"/>
  </r>
  <r>
    <s v="AID0098"/>
    <d v="2024-04-08T00:00:00"/>
    <x v="4"/>
    <s v="Pedestrian Hit"/>
    <x v="4"/>
    <x v="2"/>
    <x v="3"/>
    <x v="3"/>
    <x v="5"/>
    <n v="0"/>
  </r>
  <r>
    <s v="AID0099"/>
    <d v="2024-06-21T00:00:00"/>
    <x v="7"/>
    <s v="Overturn"/>
    <x v="0"/>
    <x v="0"/>
    <x v="3"/>
    <x v="2"/>
    <x v="4"/>
    <n v="4"/>
  </r>
  <r>
    <s v="AID0100"/>
    <d v="2024-01-26T00:00:00"/>
    <x v="5"/>
    <s v="Pedestrian Hit"/>
    <x v="4"/>
    <x v="2"/>
    <x v="1"/>
    <x v="3"/>
    <x v="0"/>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ID0001"/>
    <d v="2024-01-01T00:00:00"/>
    <x v="0"/>
    <s v="Overturn"/>
    <s v="Auto-Rickshaw"/>
    <s v="Clear"/>
    <s v="Dry"/>
    <s v="Moderate"/>
    <s v="Overtaking"/>
    <n v="0"/>
    <n v="252"/>
  </r>
  <r>
    <s v="AID0002"/>
    <d v="2024-03-29T00:00:00"/>
    <x v="1"/>
    <s v="Overturn"/>
    <s v="Auto-Rickshaw"/>
    <s v="Foggy"/>
    <s v="Damaged"/>
    <s v="Moderate"/>
    <s v="Distracted Driving"/>
    <n v="0"/>
    <m/>
  </r>
  <r>
    <s v="AID0003"/>
    <d v="2024-01-05T00:00:00"/>
    <x v="1"/>
    <s v="Overturn"/>
    <s v="Bicycle"/>
    <s v="Windy"/>
    <s v="Under Construction"/>
    <s v="Fatal"/>
    <s v="Overtaking"/>
    <n v="3"/>
    <m/>
  </r>
  <r>
    <s v="AID0004"/>
    <d v="2024-06-02T00:00:00"/>
    <x v="2"/>
    <s v="Collision"/>
    <s v="Truck"/>
    <s v="Clear"/>
    <s v="Dry"/>
    <s v="Fatal"/>
    <s v="Brake Failure"/>
    <n v="4"/>
    <m/>
  </r>
  <r>
    <s v="AID0005"/>
    <d v="2024-02-28T00:00:00"/>
    <x v="3"/>
    <s v="Animal Hit"/>
    <s v="Auto-Rickshaw"/>
    <s v="Clear"/>
    <s v="Damaged"/>
    <s v="Moderate"/>
    <s v="Weather"/>
    <n v="0"/>
    <m/>
  </r>
  <r>
    <s v="AID0006"/>
    <d v="2024-04-17T00:00:00"/>
    <x v="3"/>
    <s v="Animal Hit"/>
    <s v="Car"/>
    <s v="Rainy"/>
    <s v="Damaged"/>
    <s v="Minor"/>
    <s v="Drunk Driving"/>
    <n v="4"/>
    <m/>
  </r>
  <r>
    <s v="AID0007"/>
    <d v="2024-02-16T00:00:00"/>
    <x v="4"/>
    <s v="Animal Hit"/>
    <s v="Car"/>
    <s v="Rainy"/>
    <s v="Dry"/>
    <s v="Minor"/>
    <s v="Speeding"/>
    <n v="2"/>
    <m/>
  </r>
  <r>
    <s v="AID0008"/>
    <d v="2024-03-18T00:00:00"/>
    <x v="0"/>
    <s v="Overturn"/>
    <s v="Car"/>
    <s v="Foggy"/>
    <s v="Wet"/>
    <s v="Moderate"/>
    <s v="Speeding"/>
    <n v="5"/>
    <m/>
  </r>
  <r>
    <s v="AID0009"/>
    <d v="2024-05-13T00:00:00"/>
    <x v="1"/>
    <s v="Collision"/>
    <s v="Car"/>
    <s v="Windy"/>
    <s v="Under Construction"/>
    <s v="Minor"/>
    <s v="Weather"/>
    <n v="2"/>
    <m/>
  </r>
  <r>
    <s v="AID0010"/>
    <d v="2024-01-16T00:00:00"/>
    <x v="5"/>
    <s v="Collision"/>
    <s v="Motorcycle"/>
    <s v="Clear"/>
    <s v="Under Construction"/>
    <s v="Severe"/>
    <s v="Speeding"/>
    <n v="5"/>
    <m/>
  </r>
  <r>
    <s v="AID0011"/>
    <d v="2024-01-08T00:00:00"/>
    <x v="2"/>
    <s v="Object Hit"/>
    <s v="Auto-Rickshaw"/>
    <s v="Clear"/>
    <s v="Damaged"/>
    <s v="Fatal"/>
    <s v="Overtaking"/>
    <n v="0"/>
    <m/>
  </r>
  <r>
    <s v="AID0012"/>
    <d v="2024-06-25T00:00:00"/>
    <x v="5"/>
    <s v="Pedestrian Hit"/>
    <s v="Car"/>
    <s v="Clear"/>
    <s v="Under Construction"/>
    <s v="Severe"/>
    <s v="Overtaking"/>
    <n v="3"/>
    <m/>
  </r>
  <r>
    <s v="AID0013"/>
    <d v="2024-03-29T00:00:00"/>
    <x v="3"/>
    <s v="Pedestrian Hit"/>
    <s v="Bicycle"/>
    <s v="Rainy"/>
    <s v="Wet"/>
    <s v="Severe"/>
    <s v="Speeding"/>
    <n v="1"/>
    <m/>
  </r>
  <r>
    <s v="AID0014"/>
    <d v="2024-04-02T00:00:00"/>
    <x v="6"/>
    <s v="Overturn"/>
    <s v="Bus"/>
    <s v="Foggy"/>
    <s v="Dry"/>
    <s v="Severe"/>
    <s v="Drunk Driving"/>
    <n v="2"/>
    <m/>
  </r>
  <r>
    <s v="AID0015"/>
    <d v="2024-03-27T00:00:00"/>
    <x v="6"/>
    <s v="Pedestrian Hit"/>
    <s v="Motorcycle"/>
    <s v="Foggy"/>
    <s v="Under Construction"/>
    <s v="Moderate"/>
    <s v="Brake Failure"/>
    <n v="1"/>
    <m/>
  </r>
  <r>
    <s v="AID0016"/>
    <d v="2024-05-19T00:00:00"/>
    <x v="6"/>
    <s v="Overturn"/>
    <s v="Truck"/>
    <s v="Foggy"/>
    <s v="Damaged"/>
    <s v="Severe"/>
    <s v="Distracted Driving"/>
    <n v="5"/>
    <m/>
  </r>
  <r>
    <s v="AID0017"/>
    <d v="2024-03-03T00:00:00"/>
    <x v="0"/>
    <s v="Collision"/>
    <s v="Motorcycle"/>
    <s v="Windy"/>
    <s v="Under Construction"/>
    <s v="Moderate"/>
    <s v="Distracted Driving"/>
    <n v="4"/>
    <m/>
  </r>
  <r>
    <s v="AID0018"/>
    <d v="2024-03-08T00:00:00"/>
    <x v="7"/>
    <s v="Overturn"/>
    <s v="Car"/>
    <s v="Windy"/>
    <s v="Under Construction"/>
    <s v="Moderate"/>
    <s v="Brake Failure"/>
    <n v="3"/>
    <m/>
  </r>
  <r>
    <s v="AID0019"/>
    <d v="2024-06-26T00:00:00"/>
    <x v="4"/>
    <s v="Overturn"/>
    <s v="Motorcycle"/>
    <s v="Rainy"/>
    <s v="Wet"/>
    <s v="Severe"/>
    <s v="Drunk Driving"/>
    <n v="4"/>
    <m/>
  </r>
  <r>
    <s v="AID0020"/>
    <d v="2024-01-26T00:00:00"/>
    <x v="4"/>
    <s v="Collision"/>
    <s v="Bicycle"/>
    <s v="Rainy"/>
    <s v="Damaged"/>
    <s v="Moderate"/>
    <s v="Brake Failure"/>
    <n v="5"/>
    <m/>
  </r>
  <r>
    <s v="AID0021"/>
    <d v="2024-02-05T00:00:00"/>
    <x v="2"/>
    <s v="Animal Hit"/>
    <s v="Motorcycle"/>
    <s v="Windy"/>
    <s v="Damaged"/>
    <s v="Minor"/>
    <s v="Distracted Driving"/>
    <n v="5"/>
    <m/>
  </r>
  <r>
    <s v="AID0022"/>
    <d v="2024-06-07T00:00:00"/>
    <x v="0"/>
    <s v="Object Hit"/>
    <s v="Truck"/>
    <s v="Foggy"/>
    <s v="Under Construction"/>
    <s v="Fatal"/>
    <s v="Weather"/>
    <n v="4"/>
    <m/>
  </r>
  <r>
    <s v="AID0023"/>
    <d v="2024-03-27T00:00:00"/>
    <x v="6"/>
    <s v="Collision"/>
    <s v="Bicycle"/>
    <s v="Rainy"/>
    <s v="Under Construction"/>
    <s v="Severe"/>
    <s v="Weather"/>
    <n v="4"/>
    <m/>
  </r>
  <r>
    <s v="AID0024"/>
    <d v="2024-02-24T00:00:00"/>
    <x v="1"/>
    <s v="Object Hit"/>
    <s v="Truck"/>
    <s v="Rainy"/>
    <s v="Dry"/>
    <s v="Moderate"/>
    <s v="Overtaking"/>
    <n v="0"/>
    <m/>
  </r>
  <r>
    <s v="AID0025"/>
    <d v="2024-06-04T00:00:00"/>
    <x v="4"/>
    <s v="Animal Hit"/>
    <s v="Motorcycle"/>
    <s v="Rainy"/>
    <s v="Damaged"/>
    <s v="Fatal"/>
    <s v="Drunk Driving"/>
    <n v="1"/>
    <m/>
  </r>
  <r>
    <s v="AID0026"/>
    <d v="2024-05-30T00:00:00"/>
    <x v="2"/>
    <s v="Collision"/>
    <s v="Bus"/>
    <s v="Clear"/>
    <s v="Damaged"/>
    <s v="Moderate"/>
    <s v="Weather"/>
    <n v="0"/>
    <m/>
  </r>
  <r>
    <s v="AID0027"/>
    <d v="2024-04-04T00:00:00"/>
    <x v="0"/>
    <s v="Pedestrian Hit"/>
    <s v="Car"/>
    <s v="Windy"/>
    <s v="Wet"/>
    <s v="Fatal"/>
    <s v="Overtaking"/>
    <n v="0"/>
    <m/>
  </r>
  <r>
    <s v="AID0028"/>
    <d v="2024-05-10T00:00:00"/>
    <x v="0"/>
    <s v="Overturn"/>
    <s v="Bicycle"/>
    <s v="Foggy"/>
    <s v="Dry"/>
    <s v="Severe"/>
    <s v="Brake Failure"/>
    <n v="4"/>
    <m/>
  </r>
  <r>
    <s v="AID0029"/>
    <d v="2024-03-02T00:00:00"/>
    <x v="6"/>
    <s v="Animal Hit"/>
    <s v="Auto-Rickshaw"/>
    <s v="Rainy"/>
    <s v="Damaged"/>
    <s v="Severe"/>
    <s v="Weather"/>
    <n v="4"/>
    <m/>
  </r>
  <r>
    <s v="AID0030"/>
    <d v="2024-04-16T00:00:00"/>
    <x v="2"/>
    <s v="Pedestrian Hit"/>
    <s v="Car"/>
    <s v="Foggy"/>
    <s v="Under Construction"/>
    <s v="Severe"/>
    <s v="Distracted Driving"/>
    <n v="0"/>
    <m/>
  </r>
  <r>
    <s v="AID0031"/>
    <d v="2024-06-09T00:00:00"/>
    <x v="7"/>
    <s v="Object Hit"/>
    <s v="Motorcycle"/>
    <s v="Rainy"/>
    <s v="Wet"/>
    <s v="Severe"/>
    <s v="Overtaking"/>
    <n v="5"/>
    <m/>
  </r>
  <r>
    <s v="AID0032"/>
    <d v="2024-02-25T00:00:00"/>
    <x v="6"/>
    <s v="Pedestrian Hit"/>
    <s v="Auto-Rickshaw"/>
    <s v="Rainy"/>
    <s v="Damaged"/>
    <s v="Fatal"/>
    <s v="Drunk Driving"/>
    <n v="2"/>
    <m/>
  </r>
  <r>
    <s v="AID0033"/>
    <d v="2024-06-24T00:00:00"/>
    <x v="2"/>
    <s v="Object Hit"/>
    <s v="Auto-Rickshaw"/>
    <s v="Windy"/>
    <s v="Damaged"/>
    <s v="Fatal"/>
    <s v="Distracted Driving"/>
    <n v="1"/>
    <m/>
  </r>
  <r>
    <s v="AID0034"/>
    <d v="2024-04-21T00:00:00"/>
    <x v="7"/>
    <s v="Animal Hit"/>
    <s v="Bicycle"/>
    <s v="Clear"/>
    <s v="Under Construction"/>
    <s v="Minor"/>
    <s v="Drunk Driving"/>
    <n v="1"/>
    <m/>
  </r>
  <r>
    <s v="AID0035"/>
    <d v="2024-01-02T00:00:00"/>
    <x v="1"/>
    <s v="Overturn"/>
    <s v="Truck"/>
    <s v="Clear"/>
    <s v="Wet"/>
    <s v="Severe"/>
    <s v="Speeding"/>
    <n v="3"/>
    <m/>
  </r>
  <r>
    <s v="AID0036"/>
    <d v="2024-05-24T00:00:00"/>
    <x v="7"/>
    <s v="Animal Hit"/>
    <s v="Auto-Rickshaw"/>
    <s v="Clear"/>
    <s v="Wet"/>
    <s v="Moderate"/>
    <s v="Distracted Driving"/>
    <n v="4"/>
    <m/>
  </r>
  <r>
    <s v="AID0037"/>
    <d v="2024-01-26T00:00:00"/>
    <x v="5"/>
    <s v="Object Hit"/>
    <s v="Motorcycle"/>
    <s v="Clear"/>
    <s v="Under Construction"/>
    <s v="Minor"/>
    <s v="Overtaking"/>
    <n v="5"/>
    <m/>
  </r>
  <r>
    <s v="AID0038"/>
    <d v="2024-01-23T00:00:00"/>
    <x v="3"/>
    <s v="Overturn"/>
    <s v="Auto-Rickshaw"/>
    <s v="Windy"/>
    <s v="Under Construction"/>
    <s v="Severe"/>
    <s v="Speeding"/>
    <n v="0"/>
    <m/>
  </r>
  <r>
    <s v="AID0039"/>
    <d v="2024-04-26T00:00:00"/>
    <x v="2"/>
    <s v="Animal Hit"/>
    <s v="Car"/>
    <s v="Foggy"/>
    <s v="Under Construction"/>
    <s v="Fatal"/>
    <s v="Speeding"/>
    <n v="2"/>
    <m/>
  </r>
  <r>
    <s v="AID0040"/>
    <d v="2024-03-14T00:00:00"/>
    <x v="0"/>
    <s v="Overturn"/>
    <s v="Auto-Rickshaw"/>
    <s v="Rainy"/>
    <s v="Damaged"/>
    <s v="Fatal"/>
    <s v="Weather"/>
    <n v="1"/>
    <m/>
  </r>
  <r>
    <s v="AID0041"/>
    <d v="2024-01-10T00:00:00"/>
    <x v="0"/>
    <s v="Animal Hit"/>
    <s v="Auto-Rickshaw"/>
    <s v="Clear"/>
    <s v="Wet"/>
    <s v="Minor"/>
    <s v="Brake Failure"/>
    <n v="4"/>
    <m/>
  </r>
  <r>
    <s v="AID0042"/>
    <d v="2024-04-28T00:00:00"/>
    <x v="1"/>
    <s v="Collision"/>
    <s v="Car"/>
    <s v="Foggy"/>
    <s v="Under Construction"/>
    <s v="Minor"/>
    <s v="Speeding"/>
    <n v="2"/>
    <m/>
  </r>
  <r>
    <s v="AID0043"/>
    <d v="2024-01-23T00:00:00"/>
    <x v="3"/>
    <s v="Overturn"/>
    <s v="Bicycle"/>
    <s v="Windy"/>
    <s v="Under Construction"/>
    <s v="Minor"/>
    <s v="Brake Failure"/>
    <n v="2"/>
    <m/>
  </r>
  <r>
    <s v="AID0044"/>
    <d v="2024-03-19T00:00:00"/>
    <x v="0"/>
    <s v="Animal Hit"/>
    <s v="Car"/>
    <s v="Windy"/>
    <s v="Wet"/>
    <s v="Fatal"/>
    <s v="Weather"/>
    <n v="4"/>
    <m/>
  </r>
  <r>
    <s v="AID0045"/>
    <d v="2024-03-20T00:00:00"/>
    <x v="0"/>
    <s v="Overturn"/>
    <s v="Bus"/>
    <s v="Clear"/>
    <s v="Wet"/>
    <s v="Severe"/>
    <s v="Brake Failure"/>
    <n v="3"/>
    <m/>
  </r>
  <r>
    <s v="AID0046"/>
    <d v="2024-05-05T00:00:00"/>
    <x v="1"/>
    <s v="Animal Hit"/>
    <s v="Motorcycle"/>
    <s v="Rainy"/>
    <s v="Dry"/>
    <s v="Minor"/>
    <s v="Speeding"/>
    <n v="0"/>
    <m/>
  </r>
  <r>
    <s v="AID0047"/>
    <d v="2024-04-20T00:00:00"/>
    <x v="0"/>
    <s v="Overturn"/>
    <s v="Car"/>
    <s v="Foggy"/>
    <s v="Dry"/>
    <s v="Severe"/>
    <s v="Overtaking"/>
    <n v="1"/>
    <m/>
  </r>
  <r>
    <s v="AID0048"/>
    <d v="2024-06-23T00:00:00"/>
    <x v="6"/>
    <s v="Animal Hit"/>
    <s v="Motorcycle"/>
    <s v="Rainy"/>
    <s v="Wet"/>
    <s v="Fatal"/>
    <s v="Drunk Driving"/>
    <n v="0"/>
    <m/>
  </r>
  <r>
    <s v="AID0049"/>
    <d v="2024-03-18T00:00:00"/>
    <x v="7"/>
    <s v="Collision"/>
    <s v="Motorcycle"/>
    <s v="Clear"/>
    <s v="Dry"/>
    <s v="Moderate"/>
    <s v="Weather"/>
    <n v="5"/>
    <m/>
  </r>
  <r>
    <s v="AID0050"/>
    <d v="2024-05-24T00:00:00"/>
    <x v="3"/>
    <s v="Pedestrian Hit"/>
    <s v="Truck"/>
    <s v="Foggy"/>
    <s v="Damaged"/>
    <s v="Minor"/>
    <s v="Speeding"/>
    <n v="2"/>
    <m/>
  </r>
  <r>
    <s v="AID0051"/>
    <d v="2024-04-01T00:00:00"/>
    <x v="5"/>
    <s v="Collision"/>
    <s v="Bicycle"/>
    <s v="Windy"/>
    <s v="Dry"/>
    <s v="Moderate"/>
    <s v="Drunk Driving"/>
    <n v="0"/>
    <m/>
  </r>
  <r>
    <s v="AID0052"/>
    <d v="2024-02-25T00:00:00"/>
    <x v="4"/>
    <s v="Animal Hit"/>
    <s v="Truck"/>
    <s v="Foggy"/>
    <s v="Damaged"/>
    <s v="Severe"/>
    <s v="Weather"/>
    <n v="2"/>
    <m/>
  </r>
  <r>
    <s v="AID0053"/>
    <d v="2024-01-20T00:00:00"/>
    <x v="7"/>
    <s v="Pedestrian Hit"/>
    <s v="Car"/>
    <s v="Windy"/>
    <s v="Under Construction"/>
    <s v="Moderate"/>
    <s v="Drunk Driving"/>
    <n v="3"/>
    <m/>
  </r>
  <r>
    <s v="AID0054"/>
    <d v="2024-02-23T00:00:00"/>
    <x v="0"/>
    <s v="Animal Hit"/>
    <s v="Truck"/>
    <s v="Windy"/>
    <s v="Dry"/>
    <s v="Severe"/>
    <s v="Drunk Driving"/>
    <n v="5"/>
    <m/>
  </r>
  <r>
    <s v="AID0055"/>
    <d v="2024-05-21T00:00:00"/>
    <x v="0"/>
    <s v="Overturn"/>
    <s v="Auto-Rickshaw"/>
    <s v="Clear"/>
    <s v="Damaged"/>
    <s v="Moderate"/>
    <s v="Brake Failure"/>
    <n v="4"/>
    <m/>
  </r>
  <r>
    <s v="AID0056"/>
    <d v="2024-03-23T00:00:00"/>
    <x v="3"/>
    <s v="Overturn"/>
    <s v="Bus"/>
    <s v="Foggy"/>
    <s v="Under Construction"/>
    <s v="Moderate"/>
    <s v="Drunk Driving"/>
    <n v="3"/>
    <m/>
  </r>
  <r>
    <s v="AID0057"/>
    <d v="2024-05-21T00:00:00"/>
    <x v="3"/>
    <s v="Overturn"/>
    <s v="Bus"/>
    <s v="Windy"/>
    <s v="Under Construction"/>
    <s v="Minor"/>
    <s v="Speeding"/>
    <n v="5"/>
    <m/>
  </r>
  <r>
    <s v="AID0058"/>
    <d v="2024-03-16T00:00:00"/>
    <x v="0"/>
    <s v="Collision"/>
    <s v="Auto-Rickshaw"/>
    <s v="Foggy"/>
    <s v="Wet"/>
    <s v="Minor"/>
    <s v="Brake Failure"/>
    <n v="2"/>
    <m/>
  </r>
  <r>
    <s v="AID0059"/>
    <d v="2024-01-26T00:00:00"/>
    <x v="1"/>
    <s v="Collision"/>
    <s v="Car"/>
    <s v="Foggy"/>
    <s v="Under Construction"/>
    <s v="Fatal"/>
    <s v="Speeding"/>
    <n v="4"/>
    <m/>
  </r>
  <r>
    <s v="AID0060"/>
    <d v="2024-05-14T00:00:00"/>
    <x v="2"/>
    <s v="Overturn"/>
    <s v="Car"/>
    <s v="Rainy"/>
    <s v="Dry"/>
    <s v="Fatal"/>
    <s v="Drunk Driving"/>
    <n v="2"/>
    <m/>
  </r>
  <r>
    <s v="AID0061"/>
    <d v="2024-05-11T00:00:00"/>
    <x v="0"/>
    <s v="Animal Hit"/>
    <s v="Bicycle"/>
    <s v="Foggy"/>
    <s v="Under Construction"/>
    <s v="Fatal"/>
    <s v="Brake Failure"/>
    <n v="5"/>
    <m/>
  </r>
  <r>
    <s v="AID0062"/>
    <d v="2024-03-04T00:00:00"/>
    <x v="1"/>
    <s v="Collision"/>
    <s v="Motorcycle"/>
    <s v="Foggy"/>
    <s v="Damaged"/>
    <s v="Minor"/>
    <s v="Speeding"/>
    <n v="5"/>
    <m/>
  </r>
  <r>
    <s v="AID0063"/>
    <d v="2024-06-10T00:00:00"/>
    <x v="6"/>
    <s v="Animal Hit"/>
    <s v="Auto-Rickshaw"/>
    <s v="Clear"/>
    <s v="Under Construction"/>
    <s v="Severe"/>
    <s v="Brake Failure"/>
    <n v="1"/>
    <m/>
  </r>
  <r>
    <s v="AID0064"/>
    <d v="2024-01-10T00:00:00"/>
    <x v="7"/>
    <s v="Overturn"/>
    <s v="Bus"/>
    <s v="Rainy"/>
    <s v="Under Construction"/>
    <s v="Severe"/>
    <s v="Speeding"/>
    <n v="4"/>
    <m/>
  </r>
  <r>
    <s v="AID0065"/>
    <d v="2024-03-09T00:00:00"/>
    <x v="2"/>
    <s v="Pedestrian Hit"/>
    <s v="Auto-Rickshaw"/>
    <s v="Windy"/>
    <s v="Dry"/>
    <s v="Minor"/>
    <s v="Distracted Driving"/>
    <n v="1"/>
    <m/>
  </r>
  <r>
    <s v="AID0066"/>
    <d v="2024-03-16T00:00:00"/>
    <x v="5"/>
    <s v="Overturn"/>
    <s v="Motorcycle"/>
    <s v="Windy"/>
    <s v="Wet"/>
    <s v="Minor"/>
    <s v="Overtaking"/>
    <n v="2"/>
    <m/>
  </r>
  <r>
    <s v="AID0067"/>
    <d v="2024-02-15T00:00:00"/>
    <x v="3"/>
    <s v="Collision"/>
    <s v="Bicycle"/>
    <s v="Clear"/>
    <s v="Wet"/>
    <s v="Fatal"/>
    <s v="Speeding"/>
    <n v="1"/>
    <m/>
  </r>
  <r>
    <s v="AID0068"/>
    <d v="2024-05-05T00:00:00"/>
    <x v="3"/>
    <s v="Overturn"/>
    <s v="Bicycle"/>
    <s v="Windy"/>
    <s v="Damaged"/>
    <s v="Moderate"/>
    <s v="Drunk Driving"/>
    <n v="3"/>
    <m/>
  </r>
  <r>
    <s v="AID0069"/>
    <d v="2024-04-26T00:00:00"/>
    <x v="1"/>
    <s v="Animal Hit"/>
    <s v="Motorcycle"/>
    <s v="Rainy"/>
    <s v="Under Construction"/>
    <s v="Moderate"/>
    <s v="Overtaking"/>
    <n v="0"/>
    <m/>
  </r>
  <r>
    <s v="AID0070"/>
    <d v="2024-01-11T00:00:00"/>
    <x v="7"/>
    <s v="Animal Hit"/>
    <s v="Bicycle"/>
    <s v="Foggy"/>
    <s v="Damaged"/>
    <s v="Minor"/>
    <s v="Speeding"/>
    <n v="4"/>
    <m/>
  </r>
  <r>
    <s v="AID0071"/>
    <d v="2024-05-18T00:00:00"/>
    <x v="6"/>
    <s v="Object Hit"/>
    <s v="Car"/>
    <s v="Clear"/>
    <s v="Dry"/>
    <s v="Minor"/>
    <s v="Overtaking"/>
    <n v="2"/>
    <m/>
  </r>
  <r>
    <s v="AID0072"/>
    <d v="2024-06-05T00:00:00"/>
    <x v="1"/>
    <s v="Animal Hit"/>
    <s v="Bus"/>
    <s v="Rainy"/>
    <s v="Dry"/>
    <s v="Severe"/>
    <s v="Drunk Driving"/>
    <n v="4"/>
    <m/>
  </r>
  <r>
    <s v="AID0073"/>
    <d v="2024-03-01T00:00:00"/>
    <x v="3"/>
    <s v="Animal Hit"/>
    <s v="Motorcycle"/>
    <s v="Windy"/>
    <s v="Dry"/>
    <s v="Minor"/>
    <s v="Weather"/>
    <n v="1"/>
    <m/>
  </r>
  <r>
    <s v="AID0074"/>
    <d v="2024-06-17T00:00:00"/>
    <x v="3"/>
    <s v="Animal Hit"/>
    <s v="Car"/>
    <s v="Clear"/>
    <s v="Wet"/>
    <s v="Fatal"/>
    <s v="Drunk Driving"/>
    <n v="3"/>
    <m/>
  </r>
  <r>
    <s v="AID0075"/>
    <d v="2024-04-17T00:00:00"/>
    <x v="7"/>
    <s v="Pedestrian Hit"/>
    <s v="Bus"/>
    <s v="Rainy"/>
    <s v="Damaged"/>
    <s v="Moderate"/>
    <s v="Distracted Driving"/>
    <n v="4"/>
    <m/>
  </r>
  <r>
    <s v="AID0076"/>
    <d v="2024-05-25T00:00:00"/>
    <x v="3"/>
    <s v="Object Hit"/>
    <s v="Truck"/>
    <s v="Rainy"/>
    <s v="Dry"/>
    <s v="Fatal"/>
    <s v="Weather"/>
    <n v="4"/>
    <m/>
  </r>
  <r>
    <s v="AID0077"/>
    <d v="2024-02-08T00:00:00"/>
    <x v="6"/>
    <s v="Object Hit"/>
    <s v="Truck"/>
    <s v="Clear"/>
    <s v="Under Construction"/>
    <s v="Minor"/>
    <s v="Brake Failure"/>
    <n v="2"/>
    <m/>
  </r>
  <r>
    <s v="AID0078"/>
    <d v="2024-03-31T00:00:00"/>
    <x v="6"/>
    <s v="Pedestrian Hit"/>
    <s v="Car"/>
    <s v="Clear"/>
    <s v="Damaged"/>
    <s v="Fatal"/>
    <s v="Overtaking"/>
    <n v="0"/>
    <m/>
  </r>
  <r>
    <s v="AID0079"/>
    <d v="2024-02-07T00:00:00"/>
    <x v="1"/>
    <s v="Collision"/>
    <s v="Bus"/>
    <s v="Clear"/>
    <s v="Wet"/>
    <s v="Minor"/>
    <s v="Overtaking"/>
    <n v="5"/>
    <m/>
  </r>
  <r>
    <s v="AID0080"/>
    <d v="2024-03-24T00:00:00"/>
    <x v="5"/>
    <s v="Overturn"/>
    <s v="Auto-Rickshaw"/>
    <s v="Rainy"/>
    <s v="Dry"/>
    <s v="Minor"/>
    <s v="Distracted Driving"/>
    <n v="4"/>
    <m/>
  </r>
  <r>
    <s v="AID0081"/>
    <d v="2024-01-29T00:00:00"/>
    <x v="4"/>
    <s v="Collision"/>
    <s v="Car"/>
    <s v="Clear"/>
    <s v="Dry"/>
    <s v="Severe"/>
    <s v="Distracted Driving"/>
    <n v="0"/>
    <m/>
  </r>
  <r>
    <s v="AID0082"/>
    <d v="2024-04-22T00:00:00"/>
    <x v="5"/>
    <s v="Collision"/>
    <s v="Bus"/>
    <s v="Windy"/>
    <s v="Wet"/>
    <s v="Fatal"/>
    <s v="Overtaking"/>
    <n v="3"/>
    <m/>
  </r>
  <r>
    <s v="AID0083"/>
    <d v="2024-05-12T00:00:00"/>
    <x v="1"/>
    <s v="Object Hit"/>
    <s v="Motorcycle"/>
    <s v="Windy"/>
    <s v="Damaged"/>
    <s v="Moderate"/>
    <s v="Weather"/>
    <n v="4"/>
    <m/>
  </r>
  <r>
    <s v="AID0084"/>
    <d v="2024-01-28T00:00:00"/>
    <x v="2"/>
    <s v="Overturn"/>
    <s v="Motorcycle"/>
    <s v="Rainy"/>
    <s v="Under Construction"/>
    <s v="Severe"/>
    <s v="Brake Failure"/>
    <n v="2"/>
    <m/>
  </r>
  <r>
    <s v="AID0085"/>
    <d v="2024-01-17T00:00:00"/>
    <x v="4"/>
    <s v="Animal Hit"/>
    <s v="Truck"/>
    <s v="Foggy"/>
    <s v="Wet"/>
    <s v="Severe"/>
    <s v="Speeding"/>
    <n v="3"/>
    <m/>
  </r>
  <r>
    <s v="AID0086"/>
    <d v="2024-01-11T00:00:00"/>
    <x v="7"/>
    <s v="Animal Hit"/>
    <s v="Car"/>
    <s v="Clear"/>
    <s v="Dry"/>
    <s v="Severe"/>
    <s v="Drunk Driving"/>
    <n v="2"/>
    <m/>
  </r>
  <r>
    <s v="AID0087"/>
    <d v="2024-06-14T00:00:00"/>
    <x v="5"/>
    <s v="Animal Hit"/>
    <s v="Motorcycle"/>
    <s v="Windy"/>
    <s v="Wet"/>
    <s v="Moderate"/>
    <s v="Brake Failure"/>
    <n v="1"/>
    <m/>
  </r>
  <r>
    <s v="AID0088"/>
    <d v="2024-03-22T00:00:00"/>
    <x v="0"/>
    <s v="Object Hit"/>
    <s v="Bicycle"/>
    <s v="Windy"/>
    <s v="Dry"/>
    <s v="Moderate"/>
    <s v="Weather"/>
    <n v="2"/>
    <m/>
  </r>
  <r>
    <s v="AID0089"/>
    <d v="2024-06-02T00:00:00"/>
    <x v="6"/>
    <s v="Object Hit"/>
    <s v="Auto-Rickshaw"/>
    <s v="Foggy"/>
    <s v="Dry"/>
    <s v="Minor"/>
    <s v="Speeding"/>
    <n v="0"/>
    <m/>
  </r>
  <r>
    <s v="AID0090"/>
    <d v="2024-01-03T00:00:00"/>
    <x v="1"/>
    <s v="Collision"/>
    <s v="Car"/>
    <s v="Clear"/>
    <s v="Dry"/>
    <s v="Severe"/>
    <s v="Overtaking"/>
    <n v="1"/>
    <m/>
  </r>
  <r>
    <s v="AID0091"/>
    <d v="2024-06-15T00:00:00"/>
    <x v="7"/>
    <s v="Pedestrian Hit"/>
    <s v="Auto-Rickshaw"/>
    <s v="Foggy"/>
    <s v="Under Construction"/>
    <s v="Fatal"/>
    <s v="Speeding"/>
    <n v="4"/>
    <m/>
  </r>
  <r>
    <s v="AID0092"/>
    <d v="2024-03-18T00:00:00"/>
    <x v="0"/>
    <s v="Collision"/>
    <s v="Bus"/>
    <s v="Clear"/>
    <s v="Damaged"/>
    <s v="Fatal"/>
    <s v="Distracted Driving"/>
    <n v="1"/>
    <m/>
  </r>
  <r>
    <s v="AID0093"/>
    <d v="2024-04-07T00:00:00"/>
    <x v="2"/>
    <s v="Pedestrian Hit"/>
    <s v="Motorcycle"/>
    <s v="Foggy"/>
    <s v="Wet"/>
    <s v="Severe"/>
    <s v="Distracted Driving"/>
    <n v="5"/>
    <m/>
  </r>
  <r>
    <s v="AID0094"/>
    <d v="2024-06-13T00:00:00"/>
    <x v="7"/>
    <s v="Animal Hit"/>
    <s v="Bicycle"/>
    <s v="Clear"/>
    <s v="Damaged"/>
    <s v="Fatal"/>
    <s v="Distracted Driving"/>
    <n v="0"/>
    <m/>
  </r>
  <r>
    <s v="AID0095"/>
    <d v="2024-02-20T00:00:00"/>
    <x v="1"/>
    <s v="Collision"/>
    <s v="Bicycle"/>
    <s v="Clear"/>
    <s v="Damaged"/>
    <s v="Minor"/>
    <s v="Drunk Driving"/>
    <n v="3"/>
    <m/>
  </r>
  <r>
    <s v="AID0096"/>
    <d v="2024-01-22T00:00:00"/>
    <x v="3"/>
    <s v="Animal Hit"/>
    <s v="Car"/>
    <s v="Clear"/>
    <s v="Under Construction"/>
    <s v="Minor"/>
    <s v="Drunk Driving"/>
    <n v="5"/>
    <m/>
  </r>
  <r>
    <s v="AID0097"/>
    <d v="2024-04-21T00:00:00"/>
    <x v="4"/>
    <s v="Object Hit"/>
    <s v="Truck"/>
    <s v="Windy"/>
    <s v="Damaged"/>
    <s v="Fatal"/>
    <s v="Drunk Driving"/>
    <n v="3"/>
    <m/>
  </r>
  <r>
    <s v="AID0098"/>
    <d v="2024-04-08T00:00:00"/>
    <x v="4"/>
    <s v="Pedestrian Hit"/>
    <s v="Motorcycle"/>
    <s v="Windy"/>
    <s v="Wet"/>
    <s v="Severe"/>
    <s v="Speeding"/>
    <n v="0"/>
    <m/>
  </r>
  <r>
    <s v="AID0099"/>
    <d v="2024-06-21T00:00:00"/>
    <x v="7"/>
    <s v="Overturn"/>
    <s v="Auto-Rickshaw"/>
    <s v="Clear"/>
    <s v="Wet"/>
    <s v="Minor"/>
    <s v="Drunk Driving"/>
    <n v="4"/>
    <m/>
  </r>
  <r>
    <s v="AID0100"/>
    <d v="2024-01-26T00:00:00"/>
    <x v="5"/>
    <s v="Pedestrian Hit"/>
    <s v="Motorcycle"/>
    <s v="Windy"/>
    <s v="Damaged"/>
    <s v="Severe"/>
    <s v="Overtaking"/>
    <n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324741-D8DE-471B-A9F7-F4016FAF75A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28" firstHeaderRow="1" firstDataRow="1" firstDataCol="1"/>
  <pivotFields count="10">
    <pivotField dataField="1" showAll="0"/>
    <pivotField numFmtId="14" showAll="0"/>
    <pivotField showAll="0"/>
    <pivotField showAll="0"/>
    <pivotField axis="axisRow" showAll="0">
      <items count="7">
        <item x="0"/>
        <item x="1"/>
        <item x="5"/>
        <item x="3"/>
        <item x="4"/>
        <item x="2"/>
        <item t="default"/>
      </items>
    </pivotField>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Accident 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121BA-4CD9-4F0C-A4B6-3742D9D23D1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4" firstHeaderRow="1" firstDataRow="1" firstDataCol="1"/>
  <pivotFields count="10">
    <pivotField dataField="1" showAll="0"/>
    <pivotField numFmtId="14" showAll="0"/>
    <pivotField showAll="0"/>
    <pivotField showAll="0"/>
    <pivotField showAll="0"/>
    <pivotField showAll="0"/>
    <pivotField showAll="0"/>
    <pivotField axis="axisRow" showAll="0">
      <items count="5">
        <item x="1"/>
        <item x="2"/>
        <item x="0"/>
        <item x="3"/>
        <item t="default"/>
      </items>
    </pivotField>
    <pivotField showAll="0"/>
    <pivotField showAll="0"/>
  </pivotFields>
  <rowFields count="1">
    <field x="7"/>
  </rowFields>
  <rowItems count="5">
    <i>
      <x/>
    </i>
    <i>
      <x v="1"/>
    </i>
    <i>
      <x v="2"/>
    </i>
    <i>
      <x v="3"/>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723E62-6F61-4A67-9FD5-EED8787362F1}"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16:U21" firstHeaderRow="1" firstDataRow="1" firstDataCol="1"/>
  <pivotFields count="10">
    <pivotField dataField="1" showAll="0"/>
    <pivotField numFmtId="14" showAll="0"/>
    <pivotField showAll="0"/>
    <pivotField showAll="0"/>
    <pivotField showAll="0"/>
    <pivotField axis="axisRow" showAll="0">
      <items count="5">
        <item x="0"/>
        <item x="1"/>
        <item x="3"/>
        <item x="2"/>
        <item t="default"/>
      </items>
    </pivotField>
    <pivotField showAll="0"/>
    <pivotField showAll="0"/>
    <pivotField showAll="0"/>
    <pivotField showAll="0"/>
  </pivotFields>
  <rowFields count="1">
    <field x="5"/>
  </rowFields>
  <rowItems count="5">
    <i>
      <x/>
    </i>
    <i>
      <x v="1"/>
    </i>
    <i>
      <x v="2"/>
    </i>
    <i>
      <x v="3"/>
    </i>
    <i t="grand">
      <x/>
    </i>
  </rowItems>
  <colItems count="1">
    <i/>
  </colItems>
  <dataFields count="1">
    <dataField name="Count of Accident 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AE490A-1478-4938-90ED-9F73DA02319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2:U9" firstHeaderRow="1" firstDataRow="1" firstDataCol="1"/>
  <pivotFields count="10">
    <pivotField dataField="1" showAll="0"/>
    <pivotField numFmtId="14" showAll="0"/>
    <pivotField showAll="0"/>
    <pivotField showAll="0"/>
    <pivotField showAll="0"/>
    <pivotField showAll="0"/>
    <pivotField showAll="0"/>
    <pivotField showAll="0"/>
    <pivotField axis="axisRow" showAll="0">
      <items count="7">
        <item x="2"/>
        <item x="1"/>
        <item x="4"/>
        <item x="0"/>
        <item x="5"/>
        <item x="3"/>
        <item t="default"/>
      </items>
    </pivotField>
    <pivotField showAll="0"/>
  </pivotFields>
  <rowFields count="1">
    <field x="8"/>
  </rowFields>
  <rowItems count="7">
    <i>
      <x/>
    </i>
    <i>
      <x v="1"/>
    </i>
    <i>
      <x v="2"/>
    </i>
    <i>
      <x v="3"/>
    </i>
    <i>
      <x v="4"/>
    </i>
    <i>
      <x v="5"/>
    </i>
    <i t="grand">
      <x/>
    </i>
  </rowItems>
  <colItems count="1">
    <i/>
  </colItems>
  <dataFields count="1">
    <dataField name="Count of Accident ID"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8195C8-70AF-4C01-A282-282E94AC0F1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T30:U39" firstHeaderRow="1" firstDataRow="1" firstDataCol="1"/>
  <pivotFields count="11">
    <pivotField showAll="0"/>
    <pivotField numFmtId="14" showAll="0"/>
    <pivotField axis="axisRow" showAll="0">
      <items count="9">
        <item x="5"/>
        <item x="3"/>
        <item x="6"/>
        <item x="4"/>
        <item x="0"/>
        <item x="7"/>
        <item x="1"/>
        <item x="2"/>
        <item t="default"/>
      </items>
    </pivotField>
    <pivotField showAll="0"/>
    <pivotField showAll="0"/>
    <pivotField showAll="0"/>
    <pivotField showAll="0"/>
    <pivotField showAll="0"/>
    <pivotField showAll="0"/>
    <pivotField dataField="1" showAll="0"/>
    <pivotField showAll="0"/>
  </pivotFields>
  <rowFields count="1">
    <field x="2"/>
  </rowFields>
  <rowItems count="9">
    <i>
      <x/>
    </i>
    <i>
      <x v="1"/>
    </i>
    <i>
      <x v="2"/>
    </i>
    <i>
      <x v="3"/>
    </i>
    <i>
      <x v="4"/>
    </i>
    <i>
      <x v="5"/>
    </i>
    <i>
      <x v="6"/>
    </i>
    <i>
      <x v="7"/>
    </i>
    <i t="grand">
      <x/>
    </i>
  </rowItems>
  <colItems count="1">
    <i/>
  </colItems>
  <dataFields count="1">
    <dataField name="Sum of Casualti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9F095B-2774-41E7-AD0D-737DC8DF9E6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49:Q55" firstHeaderRow="1" firstDataRow="2" firstDataCol="1"/>
  <pivotFields count="10">
    <pivotField dataField="1" showAll="0"/>
    <pivotField numFmtId="14" showAll="0"/>
    <pivotField showAll="0"/>
    <pivotField showAll="0"/>
    <pivotField showAll="0"/>
    <pivotField showAll="0"/>
    <pivotField axis="axisRow" showAll="0">
      <items count="5">
        <item x="1"/>
        <item x="0"/>
        <item x="2"/>
        <item x="3"/>
        <item t="default"/>
      </items>
    </pivotField>
    <pivotField axis="axisCol" showAll="0">
      <items count="5">
        <item x="1"/>
        <item x="2"/>
        <item x="0"/>
        <item x="3"/>
        <item t="default"/>
      </items>
    </pivotField>
    <pivotField showAll="0"/>
    <pivotField showAll="0"/>
  </pivotFields>
  <rowFields count="1">
    <field x="6"/>
  </rowFields>
  <rowItems count="5">
    <i>
      <x/>
    </i>
    <i>
      <x v="1"/>
    </i>
    <i>
      <x v="2"/>
    </i>
    <i>
      <x v="3"/>
    </i>
    <i t="grand">
      <x/>
    </i>
  </rowItems>
  <colFields count="1">
    <field x="7"/>
  </colFields>
  <colItems count="5">
    <i>
      <x/>
    </i>
    <i>
      <x v="1"/>
    </i>
    <i>
      <x v="2"/>
    </i>
    <i>
      <x v="3"/>
    </i>
    <i t="grand">
      <x/>
    </i>
  </colItems>
  <dataFields count="1">
    <dataField name="Count of Accident ID" fld="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4AD586-B433-4C8D-A59A-77B6468F66F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0">
    <pivotField dataField="1" showAll="0"/>
    <pivotField numFmtId="14" showAll="0"/>
    <pivotField axis="axisRow" showAll="0">
      <items count="9">
        <item x="5"/>
        <item x="3"/>
        <item x="6"/>
        <item x="4"/>
        <item x="0"/>
        <item x="7"/>
        <item x="1"/>
        <item x="2"/>
        <item t="default"/>
      </items>
    </pivotField>
    <pivotField showAll="0"/>
    <pivotField showAll="0"/>
    <pivotField showAll="0"/>
    <pivotField showAll="0"/>
    <pivotField showAll="0">
      <items count="5">
        <item x="1"/>
        <item x="2"/>
        <item x="0"/>
        <item x="3"/>
        <item t="default"/>
      </items>
    </pivotField>
    <pivotField showAll="0"/>
    <pivotField showAll="0"/>
  </pivotFields>
  <rowFields count="1">
    <field x="2"/>
  </rowFields>
  <rowItems count="9">
    <i>
      <x/>
    </i>
    <i>
      <x v="1"/>
    </i>
    <i>
      <x v="2"/>
    </i>
    <i>
      <x v="3"/>
    </i>
    <i>
      <x v="4"/>
    </i>
    <i>
      <x v="5"/>
    </i>
    <i>
      <x v="6"/>
    </i>
    <i>
      <x v="7"/>
    </i>
    <i t="grand">
      <x/>
    </i>
  </rowItems>
  <colItems count="1">
    <i/>
  </colItems>
  <dataFields count="1">
    <dataField name="Count of Accident ID" fld="0" subtotal="count"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1" format="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0B3CAB-DBF3-47B5-B60E-5050382956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14">
    <pivotField showAll="0"/>
    <pivotField showAll="0"/>
    <pivotField showAll="0"/>
    <pivotField showAll="0"/>
    <pivotField showAll="0"/>
    <pivotField axis="axisRow" showAll="0">
      <items count="5">
        <item x="0"/>
        <item x="2"/>
        <item x="1"/>
        <item x="3"/>
        <item t="default"/>
      </items>
    </pivotField>
    <pivotField showAll="0"/>
    <pivotField showAll="0"/>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062A48-769D-4CB9-959F-CDE2C4192E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4">
    <pivotField showAll="0"/>
    <pivotField axis="axisRow" showAll="0">
      <items count="6">
        <item x="2"/>
        <item x="3"/>
        <item x="1"/>
        <item x="0"/>
        <item x="4"/>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Revenue" fld="11"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ID" xr10:uid="{D567D9CE-3980-4AA0-86B8-540533FE4DE6}" sourceName="Accident ID">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9763973-0BE7-4D21-A3E5-F335D1ED0EE8}" sourceName="Location">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83CB0EDC-D5F9-4FF0-B6EB-EA7A4A331A45}" sourceName="Vehicle Type">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C5CAE11D-4CC9-4D62-A3EC-7DF3231EA1E7}" sourceName="Weather Condition">
  <extLst>
    <x:ext xmlns:x15="http://schemas.microsoft.com/office/spreadsheetml/2010/11/main" uri="{2F2917AC-EB37-4324-AD4E-5DD8C200BD13}">
      <x15:tableSlicerCache tableId="1"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Condition" xr10:uid="{C35C64E6-76F1-46AE-AEC3-46BD2C50D70A}" sourceName="Road Condition">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64D36883-1476-420D-A595-3F76AE582BE2}" sourceName="Severity">
  <extLst>
    <x:ext xmlns:x15="http://schemas.microsoft.com/office/spreadsheetml/2010/11/main" uri="{2F2917AC-EB37-4324-AD4E-5DD8C200BD13}">
      <x15:tableSlicerCache tableId="1" column="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 xr10:uid="{8D3F3E30-CC12-4B40-BA81-A25D702E3A39}" sourceName="Cause">
  <extLst>
    <x:ext xmlns:x15="http://schemas.microsoft.com/office/spreadsheetml/2010/11/main" uri="{2F2917AC-EB37-4324-AD4E-5DD8C200BD13}">
      <x15:tableSlicerCache tableId="1" column="9"/>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ties" xr10:uid="{9CBE85EA-A8CC-44B5-A688-25632F781FCC}" sourceName="Casualties">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ident ID 1" xr10:uid="{224E47AA-D500-463C-B353-6344DD582C21}" cache="Slicer_Accident_ID" caption="Accident ID" rowHeight="234950"/>
  <slicer name="Location 1" xr10:uid="{21198A3F-F859-4137-A1A4-1483D8655A49}" cache="Slicer_Location" caption="Location" rowHeight="234950"/>
  <slicer name="Vehicle Type 1" xr10:uid="{D2C092C4-EA00-47B3-B527-AE9743D74CDB}" cache="Slicer_Vehicle_Type" caption="Vehicle Type" rowHeight="234950"/>
  <slicer name="Weather Condition 1" xr10:uid="{90724E3A-C0E3-42AC-A908-4B2D9B02A1AA}" cache="Slicer_Weather_Condition" caption="Weather Condition" rowHeight="234950"/>
  <slicer name="Road Condition 1" xr10:uid="{0DE8DDC9-C024-4F5D-B791-E0FAEA93B441}" cache="Slicer_Road_Condition" caption="Road Condition" rowHeight="234950"/>
  <slicer name="Severity 1" xr10:uid="{EA7C3340-1475-4CC1-9752-D74A3C5CAB6F}" cache="Slicer_Severity" caption="Severity" rowHeight="234950"/>
  <slicer name="Cause 1" xr10:uid="{B92FB0B9-E9D8-4D17-A198-1B088DF38F6D}" cache="Slicer_Cause" caption="Cause" rowHeight="234950"/>
  <slicer name="Casualties 2" xr10:uid="{51DB1D75-3566-4252-BC2E-1515DED07A94}" cache="Slicer_Casualties" caption="Casualti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9B1AB-6F83-4C3F-B6E4-3AA03BCAF0A5}" name="Table1" displayName="Table1" ref="A1:J101" totalsRowShown="0" headerRowDxfId="14" dataDxfId="12" headerRowBorderDxfId="13" tableBorderDxfId="11" totalsRowBorderDxfId="10">
  <autoFilter ref="A1:J101" xr:uid="{2D99B1AB-6F83-4C3F-B6E4-3AA03BCAF0A5}"/>
  <tableColumns count="10">
    <tableColumn id="1" xr3:uid="{1819BB6E-4173-449C-92AE-D5108FDC5371}" name="Accident ID" dataDxfId="9"/>
    <tableColumn id="2" xr3:uid="{36BA4B42-E866-4205-B9FC-E9B119543A9F}" name="Date" dataDxfId="8"/>
    <tableColumn id="3" xr3:uid="{8776C612-98CC-4433-8B32-C22E55838BC1}" name="Location" dataDxfId="7"/>
    <tableColumn id="4" xr3:uid="{8EDBF721-A06C-4088-83C6-D8B9C4CE891F}" name="Accident Type" dataDxfId="6"/>
    <tableColumn id="5" xr3:uid="{ECAAF3A9-D14F-4DB3-920B-6315D7A3027B}" name="Vehicle Type" dataDxfId="5"/>
    <tableColumn id="6" xr3:uid="{6342F432-170C-4650-BC33-FE1EE4D4C6A6}" name="Weather Condition" dataDxfId="4"/>
    <tableColumn id="7" xr3:uid="{9FF1CFB3-8ECD-4447-9D1D-7F8C323DB575}" name="Road Condition" dataDxfId="3"/>
    <tableColumn id="8" xr3:uid="{9EAE460A-58E2-46BF-957B-107A84EBE21A}" name="Severity" dataDxfId="2"/>
    <tableColumn id="9" xr3:uid="{13760985-F84C-43AA-AA20-0F91944C1973}" name="Cause" dataDxfId="1"/>
    <tableColumn id="10" xr3:uid="{3AB75201-B041-4A76-BF87-20177FC0BA04}" name="Casualt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4A00-F989-438C-AC85-45F6ADCE70C4}">
  <sheetPr codeName="Sheet3"/>
  <dimension ref="A1:E9"/>
  <sheetViews>
    <sheetView view="pageBreakPreview" zoomScale="60" zoomScaleNormal="100" workbookViewId="0">
      <selection activeCell="E17" sqref="E17"/>
    </sheetView>
  </sheetViews>
  <sheetFormatPr defaultRowHeight="14.4" x14ac:dyDescent="0.3"/>
  <cols>
    <col min="1" max="1" width="12.6640625" customWidth="1"/>
    <col min="2" max="2" width="15.77734375" customWidth="1"/>
    <col min="3" max="3" width="12.88671875" customWidth="1"/>
    <col min="4" max="4" width="18.33203125" customWidth="1"/>
    <col min="5" max="5" width="16.77734375" customWidth="1"/>
  </cols>
  <sheetData>
    <row r="1" spans="1:5" ht="28.8" x14ac:dyDescent="0.3">
      <c r="A1" s="2" t="s">
        <v>145</v>
      </c>
      <c r="B1" s="2" t="s">
        <v>146</v>
      </c>
      <c r="C1" s="2" t="s">
        <v>147</v>
      </c>
      <c r="D1" s="2" t="s">
        <v>148</v>
      </c>
      <c r="E1" s="2" t="s">
        <v>149</v>
      </c>
    </row>
    <row r="2" spans="1:5" x14ac:dyDescent="0.3">
      <c r="A2" s="1" t="s">
        <v>150</v>
      </c>
      <c r="B2" s="1" t="s">
        <v>38</v>
      </c>
      <c r="C2" s="1" t="s">
        <v>151</v>
      </c>
      <c r="D2" s="12">
        <v>43266</v>
      </c>
      <c r="E2" s="1" t="str">
        <f ca="1">DATEDIF(D2, TODAY(), "Y") &amp; " Years " &amp; DATEDIF(D2, TODAY(), "YM") &amp; " Months"</f>
        <v>7 Years 6 Months</v>
      </c>
    </row>
    <row r="3" spans="1:5" x14ac:dyDescent="0.3">
      <c r="A3" s="1" t="s">
        <v>152</v>
      </c>
      <c r="B3" s="1" t="s">
        <v>59</v>
      </c>
      <c r="C3" s="1" t="s">
        <v>153</v>
      </c>
      <c r="D3" s="12">
        <v>43831</v>
      </c>
      <c r="E3" s="1" t="str">
        <f t="shared" ref="E3:E9" ca="1" si="0">DATEDIF(D3, TODAY(), "Y") &amp; " Years " &amp; DATEDIF(D3, TODAY(), "YM") &amp; " Months"</f>
        <v>6 Years 0 Months</v>
      </c>
    </row>
    <row r="4" spans="1:5" x14ac:dyDescent="0.3">
      <c r="A4" s="1" t="s">
        <v>154</v>
      </c>
      <c r="B4" s="1" t="s">
        <v>42</v>
      </c>
      <c r="C4" s="1" t="s">
        <v>155</v>
      </c>
      <c r="D4" s="12">
        <v>42814</v>
      </c>
      <c r="E4" s="1" t="str">
        <f t="shared" ca="1" si="0"/>
        <v>8 Years 9 Months</v>
      </c>
    </row>
    <row r="5" spans="1:5" x14ac:dyDescent="0.3">
      <c r="A5" s="1" t="s">
        <v>156</v>
      </c>
      <c r="B5" s="1" t="s">
        <v>54</v>
      </c>
      <c r="C5" s="1" t="s">
        <v>157</v>
      </c>
      <c r="D5" s="12">
        <v>43748</v>
      </c>
      <c r="E5" s="1" t="str">
        <f t="shared" ca="1" si="0"/>
        <v>6 Years 2 Months</v>
      </c>
    </row>
    <row r="6" spans="1:5" x14ac:dyDescent="0.3">
      <c r="A6" s="1" t="s">
        <v>158</v>
      </c>
      <c r="B6" s="1" t="s">
        <v>57</v>
      </c>
      <c r="C6" s="1" t="s">
        <v>159</v>
      </c>
      <c r="D6" s="12">
        <v>42495</v>
      </c>
      <c r="E6" s="1" t="str">
        <f t="shared" ca="1" si="0"/>
        <v>9 Years 8 Months</v>
      </c>
    </row>
    <row r="7" spans="1:5" x14ac:dyDescent="0.3">
      <c r="A7" s="1" t="s">
        <v>160</v>
      </c>
      <c r="B7" s="1" t="s">
        <v>47</v>
      </c>
      <c r="C7" s="1" t="s">
        <v>161</v>
      </c>
      <c r="D7" s="12">
        <v>44402</v>
      </c>
      <c r="E7" s="1" t="str">
        <f t="shared" ca="1" si="0"/>
        <v>4 Years 5 Months</v>
      </c>
    </row>
    <row r="8" spans="1:5" x14ac:dyDescent="0.3">
      <c r="A8" s="1" t="s">
        <v>162</v>
      </c>
      <c r="B8" s="1" t="s">
        <v>163</v>
      </c>
      <c r="C8" s="1" t="s">
        <v>155</v>
      </c>
      <c r="D8" s="12">
        <v>43446</v>
      </c>
      <c r="E8" s="1" t="str">
        <f t="shared" ca="1" si="0"/>
        <v>7 Years 0 Months</v>
      </c>
    </row>
    <row r="9" spans="1:5" x14ac:dyDescent="0.3">
      <c r="A9" s="1" t="s">
        <v>164</v>
      </c>
      <c r="B9" s="1" t="s">
        <v>165</v>
      </c>
      <c r="C9" s="1" t="s">
        <v>151</v>
      </c>
      <c r="D9" s="12">
        <v>44834</v>
      </c>
      <c r="E9" s="1" t="str">
        <f t="shared" ca="1" si="0"/>
        <v>3 Years 3 Months</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D251-7C24-4459-AC86-063371AD4C67}">
  <dimension ref="A1:K101"/>
  <sheetViews>
    <sheetView view="pageBreakPreview" zoomScale="60" zoomScaleNormal="80" workbookViewId="0">
      <selection activeCell="M15" sqref="M15"/>
    </sheetView>
  </sheetViews>
  <sheetFormatPr defaultRowHeight="14.4" x14ac:dyDescent="0.3"/>
  <cols>
    <col min="1" max="1" width="16.109375" customWidth="1"/>
    <col min="2" max="2" width="15.109375" customWidth="1"/>
    <col min="3" max="3" width="18.5546875" customWidth="1"/>
    <col min="4" max="4" width="20.21875" customWidth="1"/>
    <col min="5" max="5" width="17.77734375" customWidth="1"/>
    <col min="6" max="6" width="22.109375" customWidth="1"/>
    <col min="7" max="7" width="19.77734375" customWidth="1"/>
    <col min="8" max="8" width="17.44140625" customWidth="1"/>
    <col min="9" max="9" width="17" customWidth="1"/>
    <col min="10" max="10" width="15.109375" customWidth="1"/>
    <col min="11" max="11" width="11.6640625" customWidth="1"/>
  </cols>
  <sheetData>
    <row r="1" spans="1:11" ht="15" thickBot="1" x14ac:dyDescent="0.35">
      <c r="A1" s="25" t="s">
        <v>311</v>
      </c>
      <c r="B1" s="26" t="s">
        <v>28</v>
      </c>
      <c r="C1" s="26" t="s">
        <v>312</v>
      </c>
      <c r="D1" s="26" t="s">
        <v>313</v>
      </c>
      <c r="E1" s="26" t="s">
        <v>314</v>
      </c>
      <c r="F1" s="26" t="s">
        <v>315</v>
      </c>
      <c r="G1" s="26" t="s">
        <v>316</v>
      </c>
      <c r="H1" s="26" t="s">
        <v>317</v>
      </c>
      <c r="I1" s="26" t="s">
        <v>318</v>
      </c>
      <c r="J1" s="27" t="s">
        <v>319</v>
      </c>
      <c r="K1" s="22"/>
    </row>
    <row r="2" spans="1:11" ht="15" thickBot="1" x14ac:dyDescent="0.35">
      <c r="A2" s="23" t="s">
        <v>320</v>
      </c>
      <c r="B2" s="21">
        <v>45292</v>
      </c>
      <c r="C2" s="20" t="s">
        <v>321</v>
      </c>
      <c r="D2" s="20" t="s">
        <v>322</v>
      </c>
      <c r="E2" s="20" t="s">
        <v>323</v>
      </c>
      <c r="F2" s="20" t="s">
        <v>324</v>
      </c>
      <c r="G2" s="20" t="s">
        <v>325</v>
      </c>
      <c r="H2" s="20" t="s">
        <v>326</v>
      </c>
      <c r="I2" s="20" t="s">
        <v>327</v>
      </c>
      <c r="J2" s="24">
        <v>0</v>
      </c>
    </row>
    <row r="3" spans="1:11" ht="27.6" thickBot="1" x14ac:dyDescent="0.35">
      <c r="A3" s="23" t="s">
        <v>328</v>
      </c>
      <c r="B3" s="21">
        <v>45380</v>
      </c>
      <c r="C3" s="20" t="s">
        <v>329</v>
      </c>
      <c r="D3" s="20" t="s">
        <v>322</v>
      </c>
      <c r="E3" s="20" t="s">
        <v>323</v>
      </c>
      <c r="F3" s="20" t="s">
        <v>330</v>
      </c>
      <c r="G3" s="20" t="s">
        <v>331</v>
      </c>
      <c r="H3" s="20" t="s">
        <v>326</v>
      </c>
      <c r="I3" s="20" t="s">
        <v>332</v>
      </c>
      <c r="J3" s="24">
        <v>0</v>
      </c>
    </row>
    <row r="4" spans="1:11" ht="27.6" thickBot="1" x14ac:dyDescent="0.35">
      <c r="A4" s="23" t="s">
        <v>333</v>
      </c>
      <c r="B4" s="21">
        <v>45296</v>
      </c>
      <c r="C4" s="20" t="s">
        <v>329</v>
      </c>
      <c r="D4" s="20" t="s">
        <v>322</v>
      </c>
      <c r="E4" s="20" t="s">
        <v>334</v>
      </c>
      <c r="F4" s="20" t="s">
        <v>335</v>
      </c>
      <c r="G4" s="20" t="s">
        <v>336</v>
      </c>
      <c r="H4" s="20" t="s">
        <v>337</v>
      </c>
      <c r="I4" s="20" t="s">
        <v>327</v>
      </c>
      <c r="J4" s="24">
        <v>3</v>
      </c>
    </row>
    <row r="5" spans="1:11" ht="27.6" thickBot="1" x14ac:dyDescent="0.35">
      <c r="A5" s="23" t="s">
        <v>338</v>
      </c>
      <c r="B5" s="21">
        <v>45445</v>
      </c>
      <c r="C5" s="20" t="s">
        <v>339</v>
      </c>
      <c r="D5" s="20" t="s">
        <v>340</v>
      </c>
      <c r="E5" s="20" t="s">
        <v>341</v>
      </c>
      <c r="F5" s="20" t="s">
        <v>324</v>
      </c>
      <c r="G5" s="20" t="s">
        <v>325</v>
      </c>
      <c r="H5" s="20" t="s">
        <v>337</v>
      </c>
      <c r="I5" s="20" t="s">
        <v>342</v>
      </c>
      <c r="J5" s="24">
        <v>4</v>
      </c>
    </row>
    <row r="6" spans="1:11" ht="15" thickBot="1" x14ac:dyDescent="0.35">
      <c r="A6" s="23" t="s">
        <v>343</v>
      </c>
      <c r="B6" s="21">
        <v>45350</v>
      </c>
      <c r="C6" s="20" t="s">
        <v>344</v>
      </c>
      <c r="D6" s="20" t="s">
        <v>345</v>
      </c>
      <c r="E6" s="20" t="s">
        <v>323</v>
      </c>
      <c r="F6" s="20" t="s">
        <v>324</v>
      </c>
      <c r="G6" s="20" t="s">
        <v>331</v>
      </c>
      <c r="H6" s="20" t="s">
        <v>326</v>
      </c>
      <c r="I6" s="20" t="s">
        <v>346</v>
      </c>
      <c r="J6" s="24">
        <v>0</v>
      </c>
    </row>
    <row r="7" spans="1:11" ht="27.6" thickBot="1" x14ac:dyDescent="0.35">
      <c r="A7" s="23" t="s">
        <v>347</v>
      </c>
      <c r="B7" s="21">
        <v>45399</v>
      </c>
      <c r="C7" s="20" t="s">
        <v>344</v>
      </c>
      <c r="D7" s="20" t="s">
        <v>345</v>
      </c>
      <c r="E7" s="20" t="s">
        <v>348</v>
      </c>
      <c r="F7" s="20" t="s">
        <v>349</v>
      </c>
      <c r="G7" s="20" t="s">
        <v>331</v>
      </c>
      <c r="H7" s="20" t="s">
        <v>350</v>
      </c>
      <c r="I7" s="20" t="s">
        <v>351</v>
      </c>
      <c r="J7" s="24">
        <v>4</v>
      </c>
    </row>
    <row r="8" spans="1:11" ht="15" thickBot="1" x14ac:dyDescent="0.35">
      <c r="A8" s="23" t="s">
        <v>352</v>
      </c>
      <c r="B8" s="21">
        <v>45338</v>
      </c>
      <c r="C8" s="20" t="s">
        <v>353</v>
      </c>
      <c r="D8" s="20" t="s">
        <v>345</v>
      </c>
      <c r="E8" s="20" t="s">
        <v>348</v>
      </c>
      <c r="F8" s="20" t="s">
        <v>349</v>
      </c>
      <c r="G8" s="20" t="s">
        <v>325</v>
      </c>
      <c r="H8" s="20" t="s">
        <v>350</v>
      </c>
      <c r="I8" s="20" t="s">
        <v>354</v>
      </c>
      <c r="J8" s="24">
        <v>2</v>
      </c>
    </row>
    <row r="9" spans="1:11" ht="15" thickBot="1" x14ac:dyDescent="0.35">
      <c r="A9" s="23" t="s">
        <v>355</v>
      </c>
      <c r="B9" s="21">
        <v>45369</v>
      </c>
      <c r="C9" s="20" t="s">
        <v>321</v>
      </c>
      <c r="D9" s="20" t="s">
        <v>322</v>
      </c>
      <c r="E9" s="20" t="s">
        <v>348</v>
      </c>
      <c r="F9" s="20" t="s">
        <v>330</v>
      </c>
      <c r="G9" s="20" t="s">
        <v>356</v>
      </c>
      <c r="H9" s="20" t="s">
        <v>326</v>
      </c>
      <c r="I9" s="20" t="s">
        <v>354</v>
      </c>
      <c r="J9" s="24">
        <v>5</v>
      </c>
    </row>
    <row r="10" spans="1:11" ht="27.6" thickBot="1" x14ac:dyDescent="0.35">
      <c r="A10" s="23" t="s">
        <v>357</v>
      </c>
      <c r="B10" s="21">
        <v>45425</v>
      </c>
      <c r="C10" s="20" t="s">
        <v>329</v>
      </c>
      <c r="D10" s="20" t="s">
        <v>340</v>
      </c>
      <c r="E10" s="20" t="s">
        <v>348</v>
      </c>
      <c r="F10" s="20" t="s">
        <v>335</v>
      </c>
      <c r="G10" s="20" t="s">
        <v>336</v>
      </c>
      <c r="H10" s="20" t="s">
        <v>350</v>
      </c>
      <c r="I10" s="20" t="s">
        <v>346</v>
      </c>
      <c r="J10" s="24">
        <v>2</v>
      </c>
    </row>
    <row r="11" spans="1:11" ht="27.6" thickBot="1" x14ac:dyDescent="0.35">
      <c r="A11" s="23" t="s">
        <v>358</v>
      </c>
      <c r="B11" s="21">
        <v>45307</v>
      </c>
      <c r="C11" s="20" t="s">
        <v>359</v>
      </c>
      <c r="D11" s="20" t="s">
        <v>340</v>
      </c>
      <c r="E11" s="20" t="s">
        <v>360</v>
      </c>
      <c r="F11" s="20" t="s">
        <v>324</v>
      </c>
      <c r="G11" s="20" t="s">
        <v>336</v>
      </c>
      <c r="H11" s="20" t="s">
        <v>361</v>
      </c>
      <c r="I11" s="20" t="s">
        <v>354</v>
      </c>
      <c r="J11" s="24">
        <v>5</v>
      </c>
    </row>
    <row r="12" spans="1:11" ht="15" thickBot="1" x14ac:dyDescent="0.35">
      <c r="A12" s="23" t="s">
        <v>362</v>
      </c>
      <c r="B12" s="21">
        <v>45299</v>
      </c>
      <c r="C12" s="20" t="s">
        <v>339</v>
      </c>
      <c r="D12" s="20" t="s">
        <v>363</v>
      </c>
      <c r="E12" s="20" t="s">
        <v>323</v>
      </c>
      <c r="F12" s="20" t="s">
        <v>324</v>
      </c>
      <c r="G12" s="20" t="s">
        <v>331</v>
      </c>
      <c r="H12" s="20" t="s">
        <v>337</v>
      </c>
      <c r="I12" s="20" t="s">
        <v>327</v>
      </c>
      <c r="J12" s="24">
        <v>0</v>
      </c>
    </row>
    <row r="13" spans="1:11" ht="27.6" thickBot="1" x14ac:dyDescent="0.35">
      <c r="A13" s="23" t="s">
        <v>364</v>
      </c>
      <c r="B13" s="21">
        <v>45468</v>
      </c>
      <c r="C13" s="20" t="s">
        <v>359</v>
      </c>
      <c r="D13" s="20" t="s">
        <v>365</v>
      </c>
      <c r="E13" s="20" t="s">
        <v>348</v>
      </c>
      <c r="F13" s="20" t="s">
        <v>324</v>
      </c>
      <c r="G13" s="20" t="s">
        <v>336</v>
      </c>
      <c r="H13" s="20" t="s">
        <v>361</v>
      </c>
      <c r="I13" s="20" t="s">
        <v>327</v>
      </c>
      <c r="J13" s="24">
        <v>3</v>
      </c>
    </row>
    <row r="14" spans="1:11" ht="15" thickBot="1" x14ac:dyDescent="0.35">
      <c r="A14" s="23" t="s">
        <v>366</v>
      </c>
      <c r="B14" s="21">
        <v>45380</v>
      </c>
      <c r="C14" s="20" t="s">
        <v>344</v>
      </c>
      <c r="D14" s="20" t="s">
        <v>365</v>
      </c>
      <c r="E14" s="20" t="s">
        <v>334</v>
      </c>
      <c r="F14" s="20" t="s">
        <v>349</v>
      </c>
      <c r="G14" s="20" t="s">
        <v>356</v>
      </c>
      <c r="H14" s="20" t="s">
        <v>361</v>
      </c>
      <c r="I14" s="20" t="s">
        <v>354</v>
      </c>
      <c r="J14" s="24">
        <v>1</v>
      </c>
    </row>
    <row r="15" spans="1:11" ht="27.6" thickBot="1" x14ac:dyDescent="0.35">
      <c r="A15" s="23" t="s">
        <v>367</v>
      </c>
      <c r="B15" s="21">
        <v>45384</v>
      </c>
      <c r="C15" s="20" t="s">
        <v>368</v>
      </c>
      <c r="D15" s="20" t="s">
        <v>322</v>
      </c>
      <c r="E15" s="20" t="s">
        <v>369</v>
      </c>
      <c r="F15" s="20" t="s">
        <v>330</v>
      </c>
      <c r="G15" s="20" t="s">
        <v>325</v>
      </c>
      <c r="H15" s="20" t="s">
        <v>361</v>
      </c>
      <c r="I15" s="20" t="s">
        <v>351</v>
      </c>
      <c r="J15" s="24">
        <v>2</v>
      </c>
    </row>
    <row r="16" spans="1:11" ht="27.6" thickBot="1" x14ac:dyDescent="0.35">
      <c r="A16" s="23" t="s">
        <v>370</v>
      </c>
      <c r="B16" s="21">
        <v>45378</v>
      </c>
      <c r="C16" s="20" t="s">
        <v>368</v>
      </c>
      <c r="D16" s="20" t="s">
        <v>365</v>
      </c>
      <c r="E16" s="20" t="s">
        <v>360</v>
      </c>
      <c r="F16" s="20" t="s">
        <v>330</v>
      </c>
      <c r="G16" s="20" t="s">
        <v>336</v>
      </c>
      <c r="H16" s="20" t="s">
        <v>326</v>
      </c>
      <c r="I16" s="20" t="s">
        <v>342</v>
      </c>
      <c r="J16" s="24">
        <v>1</v>
      </c>
    </row>
    <row r="17" spans="1:10" ht="27.6" thickBot="1" x14ac:dyDescent="0.35">
      <c r="A17" s="23" t="s">
        <v>371</v>
      </c>
      <c r="B17" s="21">
        <v>45431</v>
      </c>
      <c r="C17" s="20" t="s">
        <v>368</v>
      </c>
      <c r="D17" s="20" t="s">
        <v>322</v>
      </c>
      <c r="E17" s="20" t="s">
        <v>341</v>
      </c>
      <c r="F17" s="20" t="s">
        <v>330</v>
      </c>
      <c r="G17" s="20" t="s">
        <v>331</v>
      </c>
      <c r="H17" s="20" t="s">
        <v>361</v>
      </c>
      <c r="I17" s="20" t="s">
        <v>332</v>
      </c>
      <c r="J17" s="24">
        <v>5</v>
      </c>
    </row>
    <row r="18" spans="1:10" ht="27.6" thickBot="1" x14ac:dyDescent="0.35">
      <c r="A18" s="23" t="s">
        <v>372</v>
      </c>
      <c r="B18" s="21">
        <v>45354</v>
      </c>
      <c r="C18" s="20" t="s">
        <v>321</v>
      </c>
      <c r="D18" s="20" t="s">
        <v>340</v>
      </c>
      <c r="E18" s="20" t="s">
        <v>360</v>
      </c>
      <c r="F18" s="20" t="s">
        <v>335</v>
      </c>
      <c r="G18" s="20" t="s">
        <v>336</v>
      </c>
      <c r="H18" s="20" t="s">
        <v>326</v>
      </c>
      <c r="I18" s="20" t="s">
        <v>332</v>
      </c>
      <c r="J18" s="24">
        <v>4</v>
      </c>
    </row>
    <row r="19" spans="1:10" ht="27.6" thickBot="1" x14ac:dyDescent="0.35">
      <c r="A19" s="23" t="s">
        <v>373</v>
      </c>
      <c r="B19" s="21">
        <v>45359</v>
      </c>
      <c r="C19" s="20" t="s">
        <v>374</v>
      </c>
      <c r="D19" s="20" t="s">
        <v>322</v>
      </c>
      <c r="E19" s="20" t="s">
        <v>348</v>
      </c>
      <c r="F19" s="20" t="s">
        <v>335</v>
      </c>
      <c r="G19" s="20" t="s">
        <v>336</v>
      </c>
      <c r="H19" s="20" t="s">
        <v>326</v>
      </c>
      <c r="I19" s="20" t="s">
        <v>342</v>
      </c>
      <c r="J19" s="24">
        <v>3</v>
      </c>
    </row>
    <row r="20" spans="1:10" ht="27.6" thickBot="1" x14ac:dyDescent="0.35">
      <c r="A20" s="23" t="s">
        <v>375</v>
      </c>
      <c r="B20" s="21">
        <v>45469</v>
      </c>
      <c r="C20" s="20" t="s">
        <v>353</v>
      </c>
      <c r="D20" s="20" t="s">
        <v>322</v>
      </c>
      <c r="E20" s="20" t="s">
        <v>360</v>
      </c>
      <c r="F20" s="20" t="s">
        <v>349</v>
      </c>
      <c r="G20" s="20" t="s">
        <v>356</v>
      </c>
      <c r="H20" s="20" t="s">
        <v>361</v>
      </c>
      <c r="I20" s="20" t="s">
        <v>351</v>
      </c>
      <c r="J20" s="24">
        <v>4</v>
      </c>
    </row>
    <row r="21" spans="1:10" ht="27.6" thickBot="1" x14ac:dyDescent="0.35">
      <c r="A21" s="23" t="s">
        <v>376</v>
      </c>
      <c r="B21" s="21">
        <v>45317</v>
      </c>
      <c r="C21" s="20" t="s">
        <v>353</v>
      </c>
      <c r="D21" s="20" t="s">
        <v>340</v>
      </c>
      <c r="E21" s="20" t="s">
        <v>334</v>
      </c>
      <c r="F21" s="20" t="s">
        <v>349</v>
      </c>
      <c r="G21" s="20" t="s">
        <v>331</v>
      </c>
      <c r="H21" s="20" t="s">
        <v>326</v>
      </c>
      <c r="I21" s="20" t="s">
        <v>342</v>
      </c>
      <c r="J21" s="24">
        <v>5</v>
      </c>
    </row>
    <row r="22" spans="1:10" ht="15" thickBot="1" x14ac:dyDescent="0.35">
      <c r="A22" s="23" t="s">
        <v>377</v>
      </c>
      <c r="B22" s="21">
        <v>45327</v>
      </c>
      <c r="C22" s="20" t="s">
        <v>339</v>
      </c>
      <c r="D22" s="20" t="s">
        <v>345</v>
      </c>
      <c r="E22" s="20" t="s">
        <v>360</v>
      </c>
      <c r="F22" s="20" t="s">
        <v>335</v>
      </c>
      <c r="G22" s="20" t="s">
        <v>331</v>
      </c>
      <c r="H22" s="20" t="s">
        <v>350</v>
      </c>
      <c r="I22" s="20" t="s">
        <v>332</v>
      </c>
      <c r="J22" s="24">
        <v>5</v>
      </c>
    </row>
    <row r="23" spans="1:10" ht="15" thickBot="1" x14ac:dyDescent="0.35">
      <c r="A23" s="23" t="s">
        <v>378</v>
      </c>
      <c r="B23" s="21">
        <v>45450</v>
      </c>
      <c r="C23" s="20" t="s">
        <v>321</v>
      </c>
      <c r="D23" s="20" t="s">
        <v>363</v>
      </c>
      <c r="E23" s="20" t="s">
        <v>341</v>
      </c>
      <c r="F23" s="20" t="s">
        <v>330</v>
      </c>
      <c r="G23" s="20" t="s">
        <v>336</v>
      </c>
      <c r="H23" s="20" t="s">
        <v>337</v>
      </c>
      <c r="I23" s="20" t="s">
        <v>346</v>
      </c>
      <c r="J23" s="24">
        <v>4</v>
      </c>
    </row>
    <row r="24" spans="1:10" ht="15" thickBot="1" x14ac:dyDescent="0.35">
      <c r="A24" s="23" t="s">
        <v>379</v>
      </c>
      <c r="B24" s="21">
        <v>45378</v>
      </c>
      <c r="C24" s="20" t="s">
        <v>368</v>
      </c>
      <c r="D24" s="20" t="s">
        <v>340</v>
      </c>
      <c r="E24" s="20" t="s">
        <v>334</v>
      </c>
      <c r="F24" s="20" t="s">
        <v>349</v>
      </c>
      <c r="G24" s="20" t="s">
        <v>336</v>
      </c>
      <c r="H24" s="20" t="s">
        <v>361</v>
      </c>
      <c r="I24" s="20" t="s">
        <v>346</v>
      </c>
      <c r="J24" s="24">
        <v>4</v>
      </c>
    </row>
    <row r="25" spans="1:10" ht="15" thickBot="1" x14ac:dyDescent="0.35">
      <c r="A25" s="23" t="s">
        <v>380</v>
      </c>
      <c r="B25" s="21">
        <v>45346</v>
      </c>
      <c r="C25" s="20" t="s">
        <v>329</v>
      </c>
      <c r="D25" s="20" t="s">
        <v>363</v>
      </c>
      <c r="E25" s="20" t="s">
        <v>341</v>
      </c>
      <c r="F25" s="20" t="s">
        <v>349</v>
      </c>
      <c r="G25" s="20" t="s">
        <v>325</v>
      </c>
      <c r="H25" s="20" t="s">
        <v>326</v>
      </c>
      <c r="I25" s="20" t="s">
        <v>327</v>
      </c>
      <c r="J25" s="24">
        <v>0</v>
      </c>
    </row>
    <row r="26" spans="1:10" ht="15" thickBot="1" x14ac:dyDescent="0.35">
      <c r="A26" s="23" t="s">
        <v>381</v>
      </c>
      <c r="B26" s="21">
        <v>45447</v>
      </c>
      <c r="C26" s="20" t="s">
        <v>353</v>
      </c>
      <c r="D26" s="20" t="s">
        <v>345</v>
      </c>
      <c r="E26" s="20" t="s">
        <v>360</v>
      </c>
      <c r="F26" s="20" t="s">
        <v>349</v>
      </c>
      <c r="G26" s="20" t="s">
        <v>331</v>
      </c>
      <c r="H26" s="20" t="s">
        <v>337</v>
      </c>
      <c r="I26" s="20" t="s">
        <v>351</v>
      </c>
      <c r="J26" s="24">
        <v>1</v>
      </c>
    </row>
    <row r="27" spans="1:10" ht="15" thickBot="1" x14ac:dyDescent="0.35">
      <c r="A27" s="23" t="s">
        <v>382</v>
      </c>
      <c r="B27" s="21">
        <v>45442</v>
      </c>
      <c r="C27" s="20" t="s">
        <v>339</v>
      </c>
      <c r="D27" s="20" t="s">
        <v>340</v>
      </c>
      <c r="E27" s="20" t="s">
        <v>369</v>
      </c>
      <c r="F27" s="20" t="s">
        <v>324</v>
      </c>
      <c r="G27" s="20" t="s">
        <v>331</v>
      </c>
      <c r="H27" s="20" t="s">
        <v>326</v>
      </c>
      <c r="I27" s="20" t="s">
        <v>346</v>
      </c>
      <c r="J27" s="24">
        <v>0</v>
      </c>
    </row>
    <row r="28" spans="1:10" ht="15" thickBot="1" x14ac:dyDescent="0.35">
      <c r="A28" s="23" t="s">
        <v>383</v>
      </c>
      <c r="B28" s="21">
        <v>45386</v>
      </c>
      <c r="C28" s="20" t="s">
        <v>321</v>
      </c>
      <c r="D28" s="20" t="s">
        <v>365</v>
      </c>
      <c r="E28" s="20" t="s">
        <v>348</v>
      </c>
      <c r="F28" s="20" t="s">
        <v>335</v>
      </c>
      <c r="G28" s="20" t="s">
        <v>356</v>
      </c>
      <c r="H28" s="20" t="s">
        <v>337</v>
      </c>
      <c r="I28" s="20" t="s">
        <v>327</v>
      </c>
      <c r="J28" s="24">
        <v>0</v>
      </c>
    </row>
    <row r="29" spans="1:10" ht="15" thickBot="1" x14ac:dyDescent="0.35">
      <c r="A29" s="23" t="s">
        <v>384</v>
      </c>
      <c r="B29" s="21">
        <v>45422</v>
      </c>
      <c r="C29" s="20" t="s">
        <v>321</v>
      </c>
      <c r="D29" s="20" t="s">
        <v>322</v>
      </c>
      <c r="E29" s="20" t="s">
        <v>334</v>
      </c>
      <c r="F29" s="20" t="s">
        <v>330</v>
      </c>
      <c r="G29" s="20" t="s">
        <v>325</v>
      </c>
      <c r="H29" s="20" t="s">
        <v>361</v>
      </c>
      <c r="I29" s="20" t="s">
        <v>342</v>
      </c>
      <c r="J29" s="24">
        <v>4</v>
      </c>
    </row>
    <row r="30" spans="1:10" ht="15" thickBot="1" x14ac:dyDescent="0.35">
      <c r="A30" s="23" t="s">
        <v>385</v>
      </c>
      <c r="B30" s="21">
        <v>45353</v>
      </c>
      <c r="C30" s="20" t="s">
        <v>368</v>
      </c>
      <c r="D30" s="20" t="s">
        <v>345</v>
      </c>
      <c r="E30" s="20" t="s">
        <v>323</v>
      </c>
      <c r="F30" s="20" t="s">
        <v>349</v>
      </c>
      <c r="G30" s="20" t="s">
        <v>331</v>
      </c>
      <c r="H30" s="20" t="s">
        <v>361</v>
      </c>
      <c r="I30" s="20" t="s">
        <v>346</v>
      </c>
      <c r="J30" s="24">
        <v>4</v>
      </c>
    </row>
    <row r="31" spans="1:10" ht="15" thickBot="1" x14ac:dyDescent="0.35">
      <c r="A31" s="23" t="s">
        <v>386</v>
      </c>
      <c r="B31" s="21">
        <v>45398</v>
      </c>
      <c r="C31" s="20" t="s">
        <v>339</v>
      </c>
      <c r="D31" s="20" t="s">
        <v>365</v>
      </c>
      <c r="E31" s="20" t="s">
        <v>348</v>
      </c>
      <c r="F31" s="20" t="s">
        <v>330</v>
      </c>
      <c r="G31" s="20" t="s">
        <v>336</v>
      </c>
      <c r="H31" s="20" t="s">
        <v>361</v>
      </c>
      <c r="I31" s="20" t="s">
        <v>332</v>
      </c>
      <c r="J31" s="24">
        <v>0</v>
      </c>
    </row>
    <row r="32" spans="1:10" ht="15" thickBot="1" x14ac:dyDescent="0.35">
      <c r="A32" s="23" t="s">
        <v>387</v>
      </c>
      <c r="B32" s="21">
        <v>45452</v>
      </c>
      <c r="C32" s="20" t="s">
        <v>374</v>
      </c>
      <c r="D32" s="20" t="s">
        <v>363</v>
      </c>
      <c r="E32" s="20" t="s">
        <v>360</v>
      </c>
      <c r="F32" s="20" t="s">
        <v>349</v>
      </c>
      <c r="G32" s="20" t="s">
        <v>356</v>
      </c>
      <c r="H32" s="20" t="s">
        <v>361</v>
      </c>
      <c r="I32" s="20" t="s">
        <v>327</v>
      </c>
      <c r="J32" s="24">
        <v>5</v>
      </c>
    </row>
    <row r="33" spans="1:10" ht="15" thickBot="1" x14ac:dyDescent="0.35">
      <c r="A33" s="23" t="s">
        <v>388</v>
      </c>
      <c r="B33" s="21">
        <v>45347</v>
      </c>
      <c r="C33" s="20" t="s">
        <v>368</v>
      </c>
      <c r="D33" s="20" t="s">
        <v>365</v>
      </c>
      <c r="E33" s="20" t="s">
        <v>323</v>
      </c>
      <c r="F33" s="20" t="s">
        <v>349</v>
      </c>
      <c r="G33" s="20" t="s">
        <v>331</v>
      </c>
      <c r="H33" s="20" t="s">
        <v>337</v>
      </c>
      <c r="I33" s="20" t="s">
        <v>351</v>
      </c>
      <c r="J33" s="24">
        <v>2</v>
      </c>
    </row>
    <row r="34" spans="1:10" ht="15" thickBot="1" x14ac:dyDescent="0.35">
      <c r="A34" s="23" t="s">
        <v>389</v>
      </c>
      <c r="B34" s="21">
        <v>45467</v>
      </c>
      <c r="C34" s="20" t="s">
        <v>339</v>
      </c>
      <c r="D34" s="20" t="s">
        <v>363</v>
      </c>
      <c r="E34" s="20" t="s">
        <v>323</v>
      </c>
      <c r="F34" s="20" t="s">
        <v>335</v>
      </c>
      <c r="G34" s="20" t="s">
        <v>331</v>
      </c>
      <c r="H34" s="20" t="s">
        <v>337</v>
      </c>
      <c r="I34" s="20" t="s">
        <v>332</v>
      </c>
      <c r="J34" s="24">
        <v>1</v>
      </c>
    </row>
    <row r="35" spans="1:10" ht="15" thickBot="1" x14ac:dyDescent="0.35">
      <c r="A35" s="23" t="s">
        <v>390</v>
      </c>
      <c r="B35" s="21">
        <v>45403</v>
      </c>
      <c r="C35" s="20" t="s">
        <v>374</v>
      </c>
      <c r="D35" s="20" t="s">
        <v>345</v>
      </c>
      <c r="E35" s="20" t="s">
        <v>334</v>
      </c>
      <c r="F35" s="20" t="s">
        <v>324</v>
      </c>
      <c r="G35" s="20" t="s">
        <v>336</v>
      </c>
      <c r="H35" s="20" t="s">
        <v>350</v>
      </c>
      <c r="I35" s="20" t="s">
        <v>351</v>
      </c>
      <c r="J35" s="24">
        <v>1</v>
      </c>
    </row>
    <row r="36" spans="1:10" ht="15" thickBot="1" x14ac:dyDescent="0.35">
      <c r="A36" s="23" t="s">
        <v>391</v>
      </c>
      <c r="B36" s="21">
        <v>45293</v>
      </c>
      <c r="C36" s="20" t="s">
        <v>329</v>
      </c>
      <c r="D36" s="20" t="s">
        <v>322</v>
      </c>
      <c r="E36" s="20" t="s">
        <v>341</v>
      </c>
      <c r="F36" s="20" t="s">
        <v>324</v>
      </c>
      <c r="G36" s="20" t="s">
        <v>356</v>
      </c>
      <c r="H36" s="20" t="s">
        <v>361</v>
      </c>
      <c r="I36" s="20" t="s">
        <v>354</v>
      </c>
      <c r="J36" s="24">
        <v>3</v>
      </c>
    </row>
    <row r="37" spans="1:10" ht="15" thickBot="1" x14ac:dyDescent="0.35">
      <c r="A37" s="23" t="s">
        <v>392</v>
      </c>
      <c r="B37" s="21">
        <v>45436</v>
      </c>
      <c r="C37" s="20" t="s">
        <v>374</v>
      </c>
      <c r="D37" s="20" t="s">
        <v>345</v>
      </c>
      <c r="E37" s="20" t="s">
        <v>323</v>
      </c>
      <c r="F37" s="20" t="s">
        <v>324</v>
      </c>
      <c r="G37" s="20" t="s">
        <v>356</v>
      </c>
      <c r="H37" s="20" t="s">
        <v>326</v>
      </c>
      <c r="I37" s="20" t="s">
        <v>332</v>
      </c>
      <c r="J37" s="24">
        <v>4</v>
      </c>
    </row>
    <row r="38" spans="1:10" ht="15" thickBot="1" x14ac:dyDescent="0.35">
      <c r="A38" s="23" t="s">
        <v>393</v>
      </c>
      <c r="B38" s="21">
        <v>45317</v>
      </c>
      <c r="C38" s="20" t="s">
        <v>359</v>
      </c>
      <c r="D38" s="20" t="s">
        <v>363</v>
      </c>
      <c r="E38" s="20" t="s">
        <v>360</v>
      </c>
      <c r="F38" s="20" t="s">
        <v>324</v>
      </c>
      <c r="G38" s="20" t="s">
        <v>336</v>
      </c>
      <c r="H38" s="20" t="s">
        <v>350</v>
      </c>
      <c r="I38" s="20" t="s">
        <v>327</v>
      </c>
      <c r="J38" s="24">
        <v>5</v>
      </c>
    </row>
    <row r="39" spans="1:10" ht="15" thickBot="1" x14ac:dyDescent="0.35">
      <c r="A39" s="23" t="s">
        <v>394</v>
      </c>
      <c r="B39" s="21">
        <v>45314</v>
      </c>
      <c r="C39" s="20" t="s">
        <v>344</v>
      </c>
      <c r="D39" s="20" t="s">
        <v>322</v>
      </c>
      <c r="E39" s="20" t="s">
        <v>323</v>
      </c>
      <c r="F39" s="20" t="s">
        <v>335</v>
      </c>
      <c r="G39" s="20" t="s">
        <v>336</v>
      </c>
      <c r="H39" s="20" t="s">
        <v>361</v>
      </c>
      <c r="I39" s="20" t="s">
        <v>354</v>
      </c>
      <c r="J39" s="24">
        <v>0</v>
      </c>
    </row>
    <row r="40" spans="1:10" ht="15" thickBot="1" x14ac:dyDescent="0.35">
      <c r="A40" s="23" t="s">
        <v>395</v>
      </c>
      <c r="B40" s="21">
        <v>45408</v>
      </c>
      <c r="C40" s="20" t="s">
        <v>339</v>
      </c>
      <c r="D40" s="20" t="s">
        <v>345</v>
      </c>
      <c r="E40" s="20" t="s">
        <v>348</v>
      </c>
      <c r="F40" s="20" t="s">
        <v>330</v>
      </c>
      <c r="G40" s="20" t="s">
        <v>336</v>
      </c>
      <c r="H40" s="20" t="s">
        <v>337</v>
      </c>
      <c r="I40" s="20" t="s">
        <v>354</v>
      </c>
      <c r="J40" s="24">
        <v>2</v>
      </c>
    </row>
    <row r="41" spans="1:10" ht="15" thickBot="1" x14ac:dyDescent="0.35">
      <c r="A41" s="23" t="s">
        <v>396</v>
      </c>
      <c r="B41" s="21">
        <v>45365</v>
      </c>
      <c r="C41" s="20" t="s">
        <v>321</v>
      </c>
      <c r="D41" s="20" t="s">
        <v>322</v>
      </c>
      <c r="E41" s="20" t="s">
        <v>323</v>
      </c>
      <c r="F41" s="20" t="s">
        <v>349</v>
      </c>
      <c r="G41" s="20" t="s">
        <v>331</v>
      </c>
      <c r="H41" s="20" t="s">
        <v>337</v>
      </c>
      <c r="I41" s="20" t="s">
        <v>346</v>
      </c>
      <c r="J41" s="24">
        <v>1</v>
      </c>
    </row>
    <row r="42" spans="1:10" ht="15" thickBot="1" x14ac:dyDescent="0.35">
      <c r="A42" s="23" t="s">
        <v>397</v>
      </c>
      <c r="B42" s="21">
        <v>45301</v>
      </c>
      <c r="C42" s="20" t="s">
        <v>321</v>
      </c>
      <c r="D42" s="20" t="s">
        <v>345</v>
      </c>
      <c r="E42" s="20" t="s">
        <v>323</v>
      </c>
      <c r="F42" s="20" t="s">
        <v>324</v>
      </c>
      <c r="G42" s="20" t="s">
        <v>356</v>
      </c>
      <c r="H42" s="20" t="s">
        <v>350</v>
      </c>
      <c r="I42" s="20" t="s">
        <v>342</v>
      </c>
      <c r="J42" s="24">
        <v>4</v>
      </c>
    </row>
    <row r="43" spans="1:10" ht="15" thickBot="1" x14ac:dyDescent="0.35">
      <c r="A43" s="23" t="s">
        <v>398</v>
      </c>
      <c r="B43" s="21">
        <v>45410</v>
      </c>
      <c r="C43" s="20" t="s">
        <v>329</v>
      </c>
      <c r="D43" s="20" t="s">
        <v>340</v>
      </c>
      <c r="E43" s="20" t="s">
        <v>348</v>
      </c>
      <c r="F43" s="20" t="s">
        <v>330</v>
      </c>
      <c r="G43" s="20" t="s">
        <v>336</v>
      </c>
      <c r="H43" s="20" t="s">
        <v>350</v>
      </c>
      <c r="I43" s="20" t="s">
        <v>354</v>
      </c>
      <c r="J43" s="24">
        <v>2</v>
      </c>
    </row>
    <row r="44" spans="1:10" ht="15" thickBot="1" x14ac:dyDescent="0.35">
      <c r="A44" s="23" t="s">
        <v>399</v>
      </c>
      <c r="B44" s="21">
        <v>45314</v>
      </c>
      <c r="C44" s="20" t="s">
        <v>344</v>
      </c>
      <c r="D44" s="20" t="s">
        <v>322</v>
      </c>
      <c r="E44" s="20" t="s">
        <v>334</v>
      </c>
      <c r="F44" s="20" t="s">
        <v>335</v>
      </c>
      <c r="G44" s="20" t="s">
        <v>336</v>
      </c>
      <c r="H44" s="20" t="s">
        <v>350</v>
      </c>
      <c r="I44" s="20" t="s">
        <v>342</v>
      </c>
      <c r="J44" s="24">
        <v>2</v>
      </c>
    </row>
    <row r="45" spans="1:10" ht="15" thickBot="1" x14ac:dyDescent="0.35">
      <c r="A45" s="23" t="s">
        <v>400</v>
      </c>
      <c r="B45" s="21">
        <v>45370</v>
      </c>
      <c r="C45" s="20" t="s">
        <v>321</v>
      </c>
      <c r="D45" s="20" t="s">
        <v>345</v>
      </c>
      <c r="E45" s="20" t="s">
        <v>348</v>
      </c>
      <c r="F45" s="20" t="s">
        <v>335</v>
      </c>
      <c r="G45" s="20" t="s">
        <v>356</v>
      </c>
      <c r="H45" s="20" t="s">
        <v>337</v>
      </c>
      <c r="I45" s="20" t="s">
        <v>346</v>
      </c>
      <c r="J45" s="24">
        <v>4</v>
      </c>
    </row>
    <row r="46" spans="1:10" ht="15" thickBot="1" x14ac:dyDescent="0.35">
      <c r="A46" s="23" t="s">
        <v>401</v>
      </c>
      <c r="B46" s="21">
        <v>45371</v>
      </c>
      <c r="C46" s="20" t="s">
        <v>321</v>
      </c>
      <c r="D46" s="20" t="s">
        <v>322</v>
      </c>
      <c r="E46" s="20" t="s">
        <v>369</v>
      </c>
      <c r="F46" s="20" t="s">
        <v>324</v>
      </c>
      <c r="G46" s="20" t="s">
        <v>356</v>
      </c>
      <c r="H46" s="20" t="s">
        <v>361</v>
      </c>
      <c r="I46" s="20" t="s">
        <v>342</v>
      </c>
      <c r="J46" s="24">
        <v>3</v>
      </c>
    </row>
    <row r="47" spans="1:10" ht="15" thickBot="1" x14ac:dyDescent="0.35">
      <c r="A47" s="23" t="s">
        <v>402</v>
      </c>
      <c r="B47" s="21">
        <v>45417</v>
      </c>
      <c r="C47" s="20" t="s">
        <v>329</v>
      </c>
      <c r="D47" s="20" t="s">
        <v>345</v>
      </c>
      <c r="E47" s="20" t="s">
        <v>360</v>
      </c>
      <c r="F47" s="20" t="s">
        <v>349</v>
      </c>
      <c r="G47" s="20" t="s">
        <v>325</v>
      </c>
      <c r="H47" s="20" t="s">
        <v>350</v>
      </c>
      <c r="I47" s="20" t="s">
        <v>354</v>
      </c>
      <c r="J47" s="24">
        <v>0</v>
      </c>
    </row>
    <row r="48" spans="1:10" ht="15" thickBot="1" x14ac:dyDescent="0.35">
      <c r="A48" s="23" t="s">
        <v>403</v>
      </c>
      <c r="B48" s="21">
        <v>45402</v>
      </c>
      <c r="C48" s="20" t="s">
        <v>321</v>
      </c>
      <c r="D48" s="20" t="s">
        <v>322</v>
      </c>
      <c r="E48" s="20" t="s">
        <v>348</v>
      </c>
      <c r="F48" s="20" t="s">
        <v>330</v>
      </c>
      <c r="G48" s="20" t="s">
        <v>325</v>
      </c>
      <c r="H48" s="20" t="s">
        <v>361</v>
      </c>
      <c r="I48" s="20" t="s">
        <v>327</v>
      </c>
      <c r="J48" s="24">
        <v>1</v>
      </c>
    </row>
    <row r="49" spans="1:10" ht="15" thickBot="1" x14ac:dyDescent="0.35">
      <c r="A49" s="23" t="s">
        <v>404</v>
      </c>
      <c r="B49" s="21">
        <v>45466</v>
      </c>
      <c r="C49" s="20" t="s">
        <v>368</v>
      </c>
      <c r="D49" s="20" t="s">
        <v>345</v>
      </c>
      <c r="E49" s="20" t="s">
        <v>360</v>
      </c>
      <c r="F49" s="20" t="s">
        <v>349</v>
      </c>
      <c r="G49" s="20" t="s">
        <v>356</v>
      </c>
      <c r="H49" s="20" t="s">
        <v>337</v>
      </c>
      <c r="I49" s="20" t="s">
        <v>351</v>
      </c>
      <c r="J49" s="24">
        <v>0</v>
      </c>
    </row>
    <row r="50" spans="1:10" ht="15" thickBot="1" x14ac:dyDescent="0.35">
      <c r="A50" s="23" t="s">
        <v>405</v>
      </c>
      <c r="B50" s="21">
        <v>45369</v>
      </c>
      <c r="C50" s="20" t="s">
        <v>374</v>
      </c>
      <c r="D50" s="20" t="s">
        <v>340</v>
      </c>
      <c r="E50" s="20" t="s">
        <v>360</v>
      </c>
      <c r="F50" s="20" t="s">
        <v>324</v>
      </c>
      <c r="G50" s="20" t="s">
        <v>325</v>
      </c>
      <c r="H50" s="20" t="s">
        <v>326</v>
      </c>
      <c r="I50" s="20" t="s">
        <v>346</v>
      </c>
      <c r="J50" s="24">
        <v>5</v>
      </c>
    </row>
    <row r="51" spans="1:10" ht="15" thickBot="1" x14ac:dyDescent="0.35">
      <c r="A51" s="23" t="s">
        <v>406</v>
      </c>
      <c r="B51" s="21">
        <v>45436</v>
      </c>
      <c r="C51" s="20" t="s">
        <v>344</v>
      </c>
      <c r="D51" s="20" t="s">
        <v>365</v>
      </c>
      <c r="E51" s="20" t="s">
        <v>341</v>
      </c>
      <c r="F51" s="20" t="s">
        <v>330</v>
      </c>
      <c r="G51" s="20" t="s">
        <v>331</v>
      </c>
      <c r="H51" s="20" t="s">
        <v>350</v>
      </c>
      <c r="I51" s="20" t="s">
        <v>354</v>
      </c>
      <c r="J51" s="24">
        <v>2</v>
      </c>
    </row>
    <row r="52" spans="1:10" ht="15" thickBot="1" x14ac:dyDescent="0.35">
      <c r="A52" s="23" t="s">
        <v>407</v>
      </c>
      <c r="B52" s="21">
        <v>45383</v>
      </c>
      <c r="C52" s="20" t="s">
        <v>359</v>
      </c>
      <c r="D52" s="20" t="s">
        <v>340</v>
      </c>
      <c r="E52" s="20" t="s">
        <v>334</v>
      </c>
      <c r="F52" s="20" t="s">
        <v>335</v>
      </c>
      <c r="G52" s="20" t="s">
        <v>325</v>
      </c>
      <c r="H52" s="20" t="s">
        <v>326</v>
      </c>
      <c r="I52" s="20" t="s">
        <v>351</v>
      </c>
      <c r="J52" s="24">
        <v>0</v>
      </c>
    </row>
    <row r="53" spans="1:10" ht="15" thickBot="1" x14ac:dyDescent="0.35">
      <c r="A53" s="23" t="s">
        <v>408</v>
      </c>
      <c r="B53" s="21">
        <v>45347</v>
      </c>
      <c r="C53" s="20" t="s">
        <v>353</v>
      </c>
      <c r="D53" s="20" t="s">
        <v>345</v>
      </c>
      <c r="E53" s="20" t="s">
        <v>341</v>
      </c>
      <c r="F53" s="20" t="s">
        <v>330</v>
      </c>
      <c r="G53" s="20" t="s">
        <v>331</v>
      </c>
      <c r="H53" s="20" t="s">
        <v>361</v>
      </c>
      <c r="I53" s="20" t="s">
        <v>346</v>
      </c>
      <c r="J53" s="24">
        <v>2</v>
      </c>
    </row>
    <row r="54" spans="1:10" ht="15" thickBot="1" x14ac:dyDescent="0.35">
      <c r="A54" s="23" t="s">
        <v>409</v>
      </c>
      <c r="B54" s="21">
        <v>45311</v>
      </c>
      <c r="C54" s="20" t="s">
        <v>374</v>
      </c>
      <c r="D54" s="20" t="s">
        <v>365</v>
      </c>
      <c r="E54" s="20" t="s">
        <v>348</v>
      </c>
      <c r="F54" s="20" t="s">
        <v>335</v>
      </c>
      <c r="G54" s="20" t="s">
        <v>336</v>
      </c>
      <c r="H54" s="20" t="s">
        <v>326</v>
      </c>
      <c r="I54" s="20" t="s">
        <v>351</v>
      </c>
      <c r="J54" s="24">
        <v>3</v>
      </c>
    </row>
    <row r="55" spans="1:10" ht="15" thickBot="1" x14ac:dyDescent="0.35">
      <c r="A55" s="23" t="s">
        <v>410</v>
      </c>
      <c r="B55" s="21">
        <v>45345</v>
      </c>
      <c r="C55" s="20" t="s">
        <v>321</v>
      </c>
      <c r="D55" s="20" t="s">
        <v>345</v>
      </c>
      <c r="E55" s="20" t="s">
        <v>341</v>
      </c>
      <c r="F55" s="20" t="s">
        <v>335</v>
      </c>
      <c r="G55" s="20" t="s">
        <v>325</v>
      </c>
      <c r="H55" s="20" t="s">
        <v>361</v>
      </c>
      <c r="I55" s="20" t="s">
        <v>351</v>
      </c>
      <c r="J55" s="24">
        <v>5</v>
      </c>
    </row>
    <row r="56" spans="1:10" ht="15" thickBot="1" x14ac:dyDescent="0.35">
      <c r="A56" s="23" t="s">
        <v>411</v>
      </c>
      <c r="B56" s="21">
        <v>45433</v>
      </c>
      <c r="C56" s="20" t="s">
        <v>321</v>
      </c>
      <c r="D56" s="20" t="s">
        <v>322</v>
      </c>
      <c r="E56" s="20" t="s">
        <v>323</v>
      </c>
      <c r="F56" s="20" t="s">
        <v>324</v>
      </c>
      <c r="G56" s="20" t="s">
        <v>331</v>
      </c>
      <c r="H56" s="20" t="s">
        <v>326</v>
      </c>
      <c r="I56" s="20" t="s">
        <v>342</v>
      </c>
      <c r="J56" s="24">
        <v>4</v>
      </c>
    </row>
    <row r="57" spans="1:10" ht="15" thickBot="1" x14ac:dyDescent="0.35">
      <c r="A57" s="23" t="s">
        <v>412</v>
      </c>
      <c r="B57" s="21">
        <v>45374</v>
      </c>
      <c r="C57" s="20" t="s">
        <v>344</v>
      </c>
      <c r="D57" s="20" t="s">
        <v>322</v>
      </c>
      <c r="E57" s="20" t="s">
        <v>369</v>
      </c>
      <c r="F57" s="20" t="s">
        <v>330</v>
      </c>
      <c r="G57" s="20" t="s">
        <v>336</v>
      </c>
      <c r="H57" s="20" t="s">
        <v>326</v>
      </c>
      <c r="I57" s="20" t="s">
        <v>351</v>
      </c>
      <c r="J57" s="24">
        <v>3</v>
      </c>
    </row>
    <row r="58" spans="1:10" ht="15" thickBot="1" x14ac:dyDescent="0.35">
      <c r="A58" s="23" t="s">
        <v>413</v>
      </c>
      <c r="B58" s="21">
        <v>45433</v>
      </c>
      <c r="C58" s="20" t="s">
        <v>344</v>
      </c>
      <c r="D58" s="20" t="s">
        <v>322</v>
      </c>
      <c r="E58" s="20" t="s">
        <v>369</v>
      </c>
      <c r="F58" s="20" t="s">
        <v>335</v>
      </c>
      <c r="G58" s="20" t="s">
        <v>336</v>
      </c>
      <c r="H58" s="20" t="s">
        <v>350</v>
      </c>
      <c r="I58" s="20" t="s">
        <v>354</v>
      </c>
      <c r="J58" s="24">
        <v>5</v>
      </c>
    </row>
    <row r="59" spans="1:10" ht="15" thickBot="1" x14ac:dyDescent="0.35">
      <c r="A59" s="23" t="s">
        <v>414</v>
      </c>
      <c r="B59" s="21">
        <v>45367</v>
      </c>
      <c r="C59" s="20" t="s">
        <v>321</v>
      </c>
      <c r="D59" s="20" t="s">
        <v>340</v>
      </c>
      <c r="E59" s="20" t="s">
        <v>323</v>
      </c>
      <c r="F59" s="20" t="s">
        <v>330</v>
      </c>
      <c r="G59" s="20" t="s">
        <v>356</v>
      </c>
      <c r="H59" s="20" t="s">
        <v>350</v>
      </c>
      <c r="I59" s="20" t="s">
        <v>342</v>
      </c>
      <c r="J59" s="24">
        <v>2</v>
      </c>
    </row>
    <row r="60" spans="1:10" ht="15" thickBot="1" x14ac:dyDescent="0.35">
      <c r="A60" s="23" t="s">
        <v>415</v>
      </c>
      <c r="B60" s="21">
        <v>45317</v>
      </c>
      <c r="C60" s="20" t="s">
        <v>329</v>
      </c>
      <c r="D60" s="20" t="s">
        <v>340</v>
      </c>
      <c r="E60" s="20" t="s">
        <v>348</v>
      </c>
      <c r="F60" s="20" t="s">
        <v>330</v>
      </c>
      <c r="G60" s="20" t="s">
        <v>336</v>
      </c>
      <c r="H60" s="20" t="s">
        <v>337</v>
      </c>
      <c r="I60" s="20" t="s">
        <v>354</v>
      </c>
      <c r="J60" s="24">
        <v>4</v>
      </c>
    </row>
    <row r="61" spans="1:10" ht="15" thickBot="1" x14ac:dyDescent="0.35">
      <c r="A61" s="23" t="s">
        <v>416</v>
      </c>
      <c r="B61" s="21">
        <v>45426</v>
      </c>
      <c r="C61" s="20" t="s">
        <v>339</v>
      </c>
      <c r="D61" s="20" t="s">
        <v>322</v>
      </c>
      <c r="E61" s="20" t="s">
        <v>348</v>
      </c>
      <c r="F61" s="20" t="s">
        <v>349</v>
      </c>
      <c r="G61" s="20" t="s">
        <v>325</v>
      </c>
      <c r="H61" s="20" t="s">
        <v>337</v>
      </c>
      <c r="I61" s="20" t="s">
        <v>351</v>
      </c>
      <c r="J61" s="24">
        <v>2</v>
      </c>
    </row>
    <row r="62" spans="1:10" ht="15" thickBot="1" x14ac:dyDescent="0.35">
      <c r="A62" s="23" t="s">
        <v>417</v>
      </c>
      <c r="B62" s="21">
        <v>45423</v>
      </c>
      <c r="C62" s="20" t="s">
        <v>321</v>
      </c>
      <c r="D62" s="20" t="s">
        <v>345</v>
      </c>
      <c r="E62" s="20" t="s">
        <v>334</v>
      </c>
      <c r="F62" s="20" t="s">
        <v>330</v>
      </c>
      <c r="G62" s="20" t="s">
        <v>336</v>
      </c>
      <c r="H62" s="20" t="s">
        <v>337</v>
      </c>
      <c r="I62" s="20" t="s">
        <v>342</v>
      </c>
      <c r="J62" s="24">
        <v>5</v>
      </c>
    </row>
    <row r="63" spans="1:10" ht="15" thickBot="1" x14ac:dyDescent="0.35">
      <c r="A63" s="23" t="s">
        <v>418</v>
      </c>
      <c r="B63" s="21">
        <v>45355</v>
      </c>
      <c r="C63" s="20" t="s">
        <v>329</v>
      </c>
      <c r="D63" s="20" t="s">
        <v>340</v>
      </c>
      <c r="E63" s="20" t="s">
        <v>360</v>
      </c>
      <c r="F63" s="20" t="s">
        <v>330</v>
      </c>
      <c r="G63" s="20" t="s">
        <v>331</v>
      </c>
      <c r="H63" s="20" t="s">
        <v>350</v>
      </c>
      <c r="I63" s="20" t="s">
        <v>354</v>
      </c>
      <c r="J63" s="24">
        <v>5</v>
      </c>
    </row>
    <row r="64" spans="1:10" ht="15" thickBot="1" x14ac:dyDescent="0.35">
      <c r="A64" s="23" t="s">
        <v>419</v>
      </c>
      <c r="B64" s="21">
        <v>45453</v>
      </c>
      <c r="C64" s="20" t="s">
        <v>368</v>
      </c>
      <c r="D64" s="20" t="s">
        <v>345</v>
      </c>
      <c r="E64" s="20" t="s">
        <v>323</v>
      </c>
      <c r="F64" s="20" t="s">
        <v>324</v>
      </c>
      <c r="G64" s="20" t="s">
        <v>336</v>
      </c>
      <c r="H64" s="20" t="s">
        <v>361</v>
      </c>
      <c r="I64" s="20" t="s">
        <v>342</v>
      </c>
      <c r="J64" s="24">
        <v>1</v>
      </c>
    </row>
    <row r="65" spans="1:10" ht="15" thickBot="1" x14ac:dyDescent="0.35">
      <c r="A65" s="23" t="s">
        <v>420</v>
      </c>
      <c r="B65" s="21">
        <v>45301</v>
      </c>
      <c r="C65" s="20" t="s">
        <v>374</v>
      </c>
      <c r="D65" s="20" t="s">
        <v>322</v>
      </c>
      <c r="E65" s="20" t="s">
        <v>369</v>
      </c>
      <c r="F65" s="20" t="s">
        <v>349</v>
      </c>
      <c r="G65" s="20" t="s">
        <v>336</v>
      </c>
      <c r="H65" s="20" t="s">
        <v>361</v>
      </c>
      <c r="I65" s="20" t="s">
        <v>354</v>
      </c>
      <c r="J65" s="24">
        <v>4</v>
      </c>
    </row>
    <row r="66" spans="1:10" ht="15" thickBot="1" x14ac:dyDescent="0.35">
      <c r="A66" s="23" t="s">
        <v>421</v>
      </c>
      <c r="B66" s="21">
        <v>45360</v>
      </c>
      <c r="C66" s="20" t="s">
        <v>339</v>
      </c>
      <c r="D66" s="20" t="s">
        <v>365</v>
      </c>
      <c r="E66" s="20" t="s">
        <v>323</v>
      </c>
      <c r="F66" s="20" t="s">
        <v>335</v>
      </c>
      <c r="G66" s="20" t="s">
        <v>325</v>
      </c>
      <c r="H66" s="20" t="s">
        <v>350</v>
      </c>
      <c r="I66" s="20" t="s">
        <v>332</v>
      </c>
      <c r="J66" s="24">
        <v>1</v>
      </c>
    </row>
    <row r="67" spans="1:10" ht="15" thickBot="1" x14ac:dyDescent="0.35">
      <c r="A67" s="23" t="s">
        <v>422</v>
      </c>
      <c r="B67" s="21">
        <v>45367</v>
      </c>
      <c r="C67" s="20" t="s">
        <v>359</v>
      </c>
      <c r="D67" s="20" t="s">
        <v>322</v>
      </c>
      <c r="E67" s="20" t="s">
        <v>360</v>
      </c>
      <c r="F67" s="20" t="s">
        <v>335</v>
      </c>
      <c r="G67" s="20" t="s">
        <v>356</v>
      </c>
      <c r="H67" s="20" t="s">
        <v>350</v>
      </c>
      <c r="I67" s="20" t="s">
        <v>327</v>
      </c>
      <c r="J67" s="24">
        <v>2</v>
      </c>
    </row>
    <row r="68" spans="1:10" ht="15" thickBot="1" x14ac:dyDescent="0.35">
      <c r="A68" s="23" t="s">
        <v>423</v>
      </c>
      <c r="B68" s="21">
        <v>45337</v>
      </c>
      <c r="C68" s="20" t="s">
        <v>344</v>
      </c>
      <c r="D68" s="20" t="s">
        <v>340</v>
      </c>
      <c r="E68" s="20" t="s">
        <v>334</v>
      </c>
      <c r="F68" s="20" t="s">
        <v>324</v>
      </c>
      <c r="G68" s="20" t="s">
        <v>356</v>
      </c>
      <c r="H68" s="20" t="s">
        <v>337</v>
      </c>
      <c r="I68" s="20" t="s">
        <v>354</v>
      </c>
      <c r="J68" s="24">
        <v>1</v>
      </c>
    </row>
    <row r="69" spans="1:10" ht="15" thickBot="1" x14ac:dyDescent="0.35">
      <c r="A69" s="23" t="s">
        <v>424</v>
      </c>
      <c r="B69" s="21">
        <v>45417</v>
      </c>
      <c r="C69" s="20" t="s">
        <v>344</v>
      </c>
      <c r="D69" s="20" t="s">
        <v>322</v>
      </c>
      <c r="E69" s="20" t="s">
        <v>334</v>
      </c>
      <c r="F69" s="20" t="s">
        <v>335</v>
      </c>
      <c r="G69" s="20" t="s">
        <v>331</v>
      </c>
      <c r="H69" s="20" t="s">
        <v>326</v>
      </c>
      <c r="I69" s="20" t="s">
        <v>351</v>
      </c>
      <c r="J69" s="24">
        <v>3</v>
      </c>
    </row>
    <row r="70" spans="1:10" ht="15" thickBot="1" x14ac:dyDescent="0.35">
      <c r="A70" s="23" t="s">
        <v>425</v>
      </c>
      <c r="B70" s="21">
        <v>45408</v>
      </c>
      <c r="C70" s="20" t="s">
        <v>329</v>
      </c>
      <c r="D70" s="20" t="s">
        <v>345</v>
      </c>
      <c r="E70" s="20" t="s">
        <v>360</v>
      </c>
      <c r="F70" s="20" t="s">
        <v>349</v>
      </c>
      <c r="G70" s="20" t="s">
        <v>336</v>
      </c>
      <c r="H70" s="20" t="s">
        <v>326</v>
      </c>
      <c r="I70" s="20" t="s">
        <v>327</v>
      </c>
      <c r="J70" s="24">
        <v>0</v>
      </c>
    </row>
    <row r="71" spans="1:10" ht="15" thickBot="1" x14ac:dyDescent="0.35">
      <c r="A71" s="23" t="s">
        <v>426</v>
      </c>
      <c r="B71" s="21">
        <v>45302</v>
      </c>
      <c r="C71" s="20" t="s">
        <v>374</v>
      </c>
      <c r="D71" s="20" t="s">
        <v>345</v>
      </c>
      <c r="E71" s="20" t="s">
        <v>334</v>
      </c>
      <c r="F71" s="20" t="s">
        <v>330</v>
      </c>
      <c r="G71" s="20" t="s">
        <v>331</v>
      </c>
      <c r="H71" s="20" t="s">
        <v>350</v>
      </c>
      <c r="I71" s="20" t="s">
        <v>354</v>
      </c>
      <c r="J71" s="24">
        <v>4</v>
      </c>
    </row>
    <row r="72" spans="1:10" ht="15" thickBot="1" x14ac:dyDescent="0.35">
      <c r="A72" s="23" t="s">
        <v>427</v>
      </c>
      <c r="B72" s="21">
        <v>45430</v>
      </c>
      <c r="C72" s="20" t="s">
        <v>368</v>
      </c>
      <c r="D72" s="20" t="s">
        <v>363</v>
      </c>
      <c r="E72" s="20" t="s">
        <v>348</v>
      </c>
      <c r="F72" s="20" t="s">
        <v>324</v>
      </c>
      <c r="G72" s="20" t="s">
        <v>325</v>
      </c>
      <c r="H72" s="20" t="s">
        <v>350</v>
      </c>
      <c r="I72" s="20" t="s">
        <v>327</v>
      </c>
      <c r="J72" s="24">
        <v>2</v>
      </c>
    </row>
    <row r="73" spans="1:10" ht="15" thickBot="1" x14ac:dyDescent="0.35">
      <c r="A73" s="23" t="s">
        <v>428</v>
      </c>
      <c r="B73" s="21">
        <v>45448</v>
      </c>
      <c r="C73" s="20" t="s">
        <v>329</v>
      </c>
      <c r="D73" s="20" t="s">
        <v>345</v>
      </c>
      <c r="E73" s="20" t="s">
        <v>369</v>
      </c>
      <c r="F73" s="20" t="s">
        <v>349</v>
      </c>
      <c r="G73" s="20" t="s">
        <v>325</v>
      </c>
      <c r="H73" s="20" t="s">
        <v>361</v>
      </c>
      <c r="I73" s="20" t="s">
        <v>351</v>
      </c>
      <c r="J73" s="24">
        <v>4</v>
      </c>
    </row>
    <row r="74" spans="1:10" ht="15" thickBot="1" x14ac:dyDescent="0.35">
      <c r="A74" s="23" t="s">
        <v>429</v>
      </c>
      <c r="B74" s="21">
        <v>45352</v>
      </c>
      <c r="C74" s="20" t="s">
        <v>344</v>
      </c>
      <c r="D74" s="20" t="s">
        <v>345</v>
      </c>
      <c r="E74" s="20" t="s">
        <v>360</v>
      </c>
      <c r="F74" s="20" t="s">
        <v>335</v>
      </c>
      <c r="G74" s="20" t="s">
        <v>325</v>
      </c>
      <c r="H74" s="20" t="s">
        <v>350</v>
      </c>
      <c r="I74" s="20" t="s">
        <v>346</v>
      </c>
      <c r="J74" s="24">
        <v>1</v>
      </c>
    </row>
    <row r="75" spans="1:10" ht="15" thickBot="1" x14ac:dyDescent="0.35">
      <c r="A75" s="23" t="s">
        <v>430</v>
      </c>
      <c r="B75" s="21">
        <v>45460</v>
      </c>
      <c r="C75" s="20" t="s">
        <v>344</v>
      </c>
      <c r="D75" s="20" t="s">
        <v>345</v>
      </c>
      <c r="E75" s="20" t="s">
        <v>348</v>
      </c>
      <c r="F75" s="20" t="s">
        <v>324</v>
      </c>
      <c r="G75" s="20" t="s">
        <v>356</v>
      </c>
      <c r="H75" s="20" t="s">
        <v>337</v>
      </c>
      <c r="I75" s="20" t="s">
        <v>351</v>
      </c>
      <c r="J75" s="24">
        <v>3</v>
      </c>
    </row>
    <row r="76" spans="1:10" ht="15" thickBot="1" x14ac:dyDescent="0.35">
      <c r="A76" s="23" t="s">
        <v>431</v>
      </c>
      <c r="B76" s="21">
        <v>45399</v>
      </c>
      <c r="C76" s="20" t="s">
        <v>374</v>
      </c>
      <c r="D76" s="20" t="s">
        <v>365</v>
      </c>
      <c r="E76" s="20" t="s">
        <v>369</v>
      </c>
      <c r="F76" s="20" t="s">
        <v>349</v>
      </c>
      <c r="G76" s="20" t="s">
        <v>331</v>
      </c>
      <c r="H76" s="20" t="s">
        <v>326</v>
      </c>
      <c r="I76" s="20" t="s">
        <v>332</v>
      </c>
      <c r="J76" s="24">
        <v>4</v>
      </c>
    </row>
    <row r="77" spans="1:10" ht="15" thickBot="1" x14ac:dyDescent="0.35">
      <c r="A77" s="23" t="s">
        <v>432</v>
      </c>
      <c r="B77" s="21">
        <v>45437</v>
      </c>
      <c r="C77" s="20" t="s">
        <v>344</v>
      </c>
      <c r="D77" s="20" t="s">
        <v>363</v>
      </c>
      <c r="E77" s="20" t="s">
        <v>341</v>
      </c>
      <c r="F77" s="20" t="s">
        <v>349</v>
      </c>
      <c r="G77" s="20" t="s">
        <v>325</v>
      </c>
      <c r="H77" s="20" t="s">
        <v>337</v>
      </c>
      <c r="I77" s="20" t="s">
        <v>346</v>
      </c>
      <c r="J77" s="24">
        <v>4</v>
      </c>
    </row>
    <row r="78" spans="1:10" ht="15" thickBot="1" x14ac:dyDescent="0.35">
      <c r="A78" s="23" t="s">
        <v>433</v>
      </c>
      <c r="B78" s="21">
        <v>45330</v>
      </c>
      <c r="C78" s="20" t="s">
        <v>368</v>
      </c>
      <c r="D78" s="20" t="s">
        <v>363</v>
      </c>
      <c r="E78" s="20" t="s">
        <v>341</v>
      </c>
      <c r="F78" s="20" t="s">
        <v>324</v>
      </c>
      <c r="G78" s="20" t="s">
        <v>336</v>
      </c>
      <c r="H78" s="20" t="s">
        <v>350</v>
      </c>
      <c r="I78" s="20" t="s">
        <v>342</v>
      </c>
      <c r="J78" s="24">
        <v>2</v>
      </c>
    </row>
    <row r="79" spans="1:10" ht="15" thickBot="1" x14ac:dyDescent="0.35">
      <c r="A79" s="23" t="s">
        <v>434</v>
      </c>
      <c r="B79" s="21">
        <v>45382</v>
      </c>
      <c r="C79" s="20" t="s">
        <v>368</v>
      </c>
      <c r="D79" s="20" t="s">
        <v>365</v>
      </c>
      <c r="E79" s="20" t="s">
        <v>348</v>
      </c>
      <c r="F79" s="20" t="s">
        <v>324</v>
      </c>
      <c r="G79" s="20" t="s">
        <v>331</v>
      </c>
      <c r="H79" s="20" t="s">
        <v>337</v>
      </c>
      <c r="I79" s="20" t="s">
        <v>327</v>
      </c>
      <c r="J79" s="24">
        <v>0</v>
      </c>
    </row>
    <row r="80" spans="1:10" ht="15" thickBot="1" x14ac:dyDescent="0.35">
      <c r="A80" s="23" t="s">
        <v>435</v>
      </c>
      <c r="B80" s="21">
        <v>45329</v>
      </c>
      <c r="C80" s="20" t="s">
        <v>329</v>
      </c>
      <c r="D80" s="20" t="s">
        <v>340</v>
      </c>
      <c r="E80" s="20" t="s">
        <v>369</v>
      </c>
      <c r="F80" s="20" t="s">
        <v>324</v>
      </c>
      <c r="G80" s="20" t="s">
        <v>356</v>
      </c>
      <c r="H80" s="20" t="s">
        <v>350</v>
      </c>
      <c r="I80" s="20" t="s">
        <v>327</v>
      </c>
      <c r="J80" s="24">
        <v>5</v>
      </c>
    </row>
    <row r="81" spans="1:10" ht="15" thickBot="1" x14ac:dyDescent="0.35">
      <c r="A81" s="23" t="s">
        <v>436</v>
      </c>
      <c r="B81" s="21">
        <v>45375</v>
      </c>
      <c r="C81" s="20" t="s">
        <v>359</v>
      </c>
      <c r="D81" s="20" t="s">
        <v>322</v>
      </c>
      <c r="E81" s="20" t="s">
        <v>323</v>
      </c>
      <c r="F81" s="20" t="s">
        <v>349</v>
      </c>
      <c r="G81" s="20" t="s">
        <v>325</v>
      </c>
      <c r="H81" s="20" t="s">
        <v>350</v>
      </c>
      <c r="I81" s="20" t="s">
        <v>332</v>
      </c>
      <c r="J81" s="24">
        <v>4</v>
      </c>
    </row>
    <row r="82" spans="1:10" ht="15" thickBot="1" x14ac:dyDescent="0.35">
      <c r="A82" s="23" t="s">
        <v>437</v>
      </c>
      <c r="B82" s="21">
        <v>45320</v>
      </c>
      <c r="C82" s="20" t="s">
        <v>353</v>
      </c>
      <c r="D82" s="20" t="s">
        <v>340</v>
      </c>
      <c r="E82" s="20" t="s">
        <v>348</v>
      </c>
      <c r="F82" s="20" t="s">
        <v>324</v>
      </c>
      <c r="G82" s="20" t="s">
        <v>325</v>
      </c>
      <c r="H82" s="20" t="s">
        <v>361</v>
      </c>
      <c r="I82" s="20" t="s">
        <v>332</v>
      </c>
      <c r="J82" s="24">
        <v>0</v>
      </c>
    </row>
    <row r="83" spans="1:10" ht="15" thickBot="1" x14ac:dyDescent="0.35">
      <c r="A83" s="23" t="s">
        <v>438</v>
      </c>
      <c r="B83" s="21">
        <v>45404</v>
      </c>
      <c r="C83" s="20" t="s">
        <v>359</v>
      </c>
      <c r="D83" s="20" t="s">
        <v>340</v>
      </c>
      <c r="E83" s="20" t="s">
        <v>369</v>
      </c>
      <c r="F83" s="20" t="s">
        <v>335</v>
      </c>
      <c r="G83" s="20" t="s">
        <v>356</v>
      </c>
      <c r="H83" s="20" t="s">
        <v>337</v>
      </c>
      <c r="I83" s="20" t="s">
        <v>327</v>
      </c>
      <c r="J83" s="24">
        <v>3</v>
      </c>
    </row>
    <row r="84" spans="1:10" ht="15" thickBot="1" x14ac:dyDescent="0.35">
      <c r="A84" s="23" t="s">
        <v>439</v>
      </c>
      <c r="B84" s="21">
        <v>45424</v>
      </c>
      <c r="C84" s="20" t="s">
        <v>329</v>
      </c>
      <c r="D84" s="20" t="s">
        <v>363</v>
      </c>
      <c r="E84" s="20" t="s">
        <v>360</v>
      </c>
      <c r="F84" s="20" t="s">
        <v>335</v>
      </c>
      <c r="G84" s="20" t="s">
        <v>331</v>
      </c>
      <c r="H84" s="20" t="s">
        <v>326</v>
      </c>
      <c r="I84" s="20" t="s">
        <v>346</v>
      </c>
      <c r="J84" s="24">
        <v>4</v>
      </c>
    </row>
    <row r="85" spans="1:10" ht="15" thickBot="1" x14ac:dyDescent="0.35">
      <c r="A85" s="23" t="s">
        <v>440</v>
      </c>
      <c r="B85" s="21">
        <v>45319</v>
      </c>
      <c r="C85" s="20" t="s">
        <v>339</v>
      </c>
      <c r="D85" s="20" t="s">
        <v>322</v>
      </c>
      <c r="E85" s="20" t="s">
        <v>360</v>
      </c>
      <c r="F85" s="20" t="s">
        <v>349</v>
      </c>
      <c r="G85" s="20" t="s">
        <v>336</v>
      </c>
      <c r="H85" s="20" t="s">
        <v>361</v>
      </c>
      <c r="I85" s="20" t="s">
        <v>342</v>
      </c>
      <c r="J85" s="24">
        <v>2</v>
      </c>
    </row>
    <row r="86" spans="1:10" ht="15" thickBot="1" x14ac:dyDescent="0.35">
      <c r="A86" s="23" t="s">
        <v>441</v>
      </c>
      <c r="B86" s="21">
        <v>45308</v>
      </c>
      <c r="C86" s="20" t="s">
        <v>353</v>
      </c>
      <c r="D86" s="20" t="s">
        <v>345</v>
      </c>
      <c r="E86" s="20" t="s">
        <v>341</v>
      </c>
      <c r="F86" s="20" t="s">
        <v>330</v>
      </c>
      <c r="G86" s="20" t="s">
        <v>356</v>
      </c>
      <c r="H86" s="20" t="s">
        <v>361</v>
      </c>
      <c r="I86" s="20" t="s">
        <v>354</v>
      </c>
      <c r="J86" s="24">
        <v>3</v>
      </c>
    </row>
    <row r="87" spans="1:10" ht="15" thickBot="1" x14ac:dyDescent="0.35">
      <c r="A87" s="23" t="s">
        <v>442</v>
      </c>
      <c r="B87" s="21">
        <v>45302</v>
      </c>
      <c r="C87" s="20" t="s">
        <v>374</v>
      </c>
      <c r="D87" s="20" t="s">
        <v>345</v>
      </c>
      <c r="E87" s="20" t="s">
        <v>348</v>
      </c>
      <c r="F87" s="20" t="s">
        <v>324</v>
      </c>
      <c r="G87" s="20" t="s">
        <v>325</v>
      </c>
      <c r="H87" s="20" t="s">
        <v>361</v>
      </c>
      <c r="I87" s="20" t="s">
        <v>351</v>
      </c>
      <c r="J87" s="24">
        <v>2</v>
      </c>
    </row>
    <row r="88" spans="1:10" ht="15" thickBot="1" x14ac:dyDescent="0.35">
      <c r="A88" s="23" t="s">
        <v>443</v>
      </c>
      <c r="B88" s="21">
        <v>45457</v>
      </c>
      <c r="C88" s="20" t="s">
        <v>359</v>
      </c>
      <c r="D88" s="20" t="s">
        <v>345</v>
      </c>
      <c r="E88" s="20" t="s">
        <v>360</v>
      </c>
      <c r="F88" s="20" t="s">
        <v>335</v>
      </c>
      <c r="G88" s="20" t="s">
        <v>356</v>
      </c>
      <c r="H88" s="20" t="s">
        <v>326</v>
      </c>
      <c r="I88" s="20" t="s">
        <v>342</v>
      </c>
      <c r="J88" s="24">
        <v>1</v>
      </c>
    </row>
    <row r="89" spans="1:10" ht="15" thickBot="1" x14ac:dyDescent="0.35">
      <c r="A89" s="23" t="s">
        <v>444</v>
      </c>
      <c r="B89" s="21">
        <v>45373</v>
      </c>
      <c r="C89" s="20" t="s">
        <v>321</v>
      </c>
      <c r="D89" s="20" t="s">
        <v>363</v>
      </c>
      <c r="E89" s="20" t="s">
        <v>334</v>
      </c>
      <c r="F89" s="20" t="s">
        <v>335</v>
      </c>
      <c r="G89" s="20" t="s">
        <v>325</v>
      </c>
      <c r="H89" s="20" t="s">
        <v>326</v>
      </c>
      <c r="I89" s="20" t="s">
        <v>346</v>
      </c>
      <c r="J89" s="24">
        <v>2</v>
      </c>
    </row>
    <row r="90" spans="1:10" ht="15" thickBot="1" x14ac:dyDescent="0.35">
      <c r="A90" s="23" t="s">
        <v>445</v>
      </c>
      <c r="B90" s="21">
        <v>45445</v>
      </c>
      <c r="C90" s="20" t="s">
        <v>368</v>
      </c>
      <c r="D90" s="20" t="s">
        <v>363</v>
      </c>
      <c r="E90" s="20" t="s">
        <v>323</v>
      </c>
      <c r="F90" s="20" t="s">
        <v>330</v>
      </c>
      <c r="G90" s="20" t="s">
        <v>325</v>
      </c>
      <c r="H90" s="20" t="s">
        <v>350</v>
      </c>
      <c r="I90" s="20" t="s">
        <v>354</v>
      </c>
      <c r="J90" s="24">
        <v>0</v>
      </c>
    </row>
    <row r="91" spans="1:10" ht="15" thickBot="1" x14ac:dyDescent="0.35">
      <c r="A91" s="23" t="s">
        <v>446</v>
      </c>
      <c r="B91" s="21">
        <v>45294</v>
      </c>
      <c r="C91" s="20" t="s">
        <v>329</v>
      </c>
      <c r="D91" s="20" t="s">
        <v>340</v>
      </c>
      <c r="E91" s="20" t="s">
        <v>348</v>
      </c>
      <c r="F91" s="20" t="s">
        <v>324</v>
      </c>
      <c r="G91" s="20" t="s">
        <v>325</v>
      </c>
      <c r="H91" s="20" t="s">
        <v>361</v>
      </c>
      <c r="I91" s="20" t="s">
        <v>327</v>
      </c>
      <c r="J91" s="24">
        <v>1</v>
      </c>
    </row>
    <row r="92" spans="1:10" ht="15" thickBot="1" x14ac:dyDescent="0.35">
      <c r="A92" s="23" t="s">
        <v>447</v>
      </c>
      <c r="B92" s="21">
        <v>45458</v>
      </c>
      <c r="C92" s="20" t="s">
        <v>374</v>
      </c>
      <c r="D92" s="20" t="s">
        <v>365</v>
      </c>
      <c r="E92" s="20" t="s">
        <v>323</v>
      </c>
      <c r="F92" s="20" t="s">
        <v>330</v>
      </c>
      <c r="G92" s="20" t="s">
        <v>336</v>
      </c>
      <c r="H92" s="20" t="s">
        <v>337</v>
      </c>
      <c r="I92" s="20" t="s">
        <v>354</v>
      </c>
      <c r="J92" s="24">
        <v>4</v>
      </c>
    </row>
    <row r="93" spans="1:10" ht="15" thickBot="1" x14ac:dyDescent="0.35">
      <c r="A93" s="23" t="s">
        <v>448</v>
      </c>
      <c r="B93" s="21">
        <v>45369</v>
      </c>
      <c r="C93" s="20" t="s">
        <v>321</v>
      </c>
      <c r="D93" s="20" t="s">
        <v>340</v>
      </c>
      <c r="E93" s="20" t="s">
        <v>369</v>
      </c>
      <c r="F93" s="20" t="s">
        <v>324</v>
      </c>
      <c r="G93" s="20" t="s">
        <v>331</v>
      </c>
      <c r="H93" s="20" t="s">
        <v>337</v>
      </c>
      <c r="I93" s="20" t="s">
        <v>332</v>
      </c>
      <c r="J93" s="24">
        <v>1</v>
      </c>
    </row>
    <row r="94" spans="1:10" ht="15" thickBot="1" x14ac:dyDescent="0.35">
      <c r="A94" s="23" t="s">
        <v>449</v>
      </c>
      <c r="B94" s="21">
        <v>45389</v>
      </c>
      <c r="C94" s="20" t="s">
        <v>339</v>
      </c>
      <c r="D94" s="20" t="s">
        <v>365</v>
      </c>
      <c r="E94" s="20" t="s">
        <v>360</v>
      </c>
      <c r="F94" s="20" t="s">
        <v>330</v>
      </c>
      <c r="G94" s="20" t="s">
        <v>356</v>
      </c>
      <c r="H94" s="20" t="s">
        <v>361</v>
      </c>
      <c r="I94" s="20" t="s">
        <v>332</v>
      </c>
      <c r="J94" s="24">
        <v>5</v>
      </c>
    </row>
    <row r="95" spans="1:10" ht="15" thickBot="1" x14ac:dyDescent="0.35">
      <c r="A95" s="23" t="s">
        <v>450</v>
      </c>
      <c r="B95" s="21">
        <v>45456</v>
      </c>
      <c r="C95" s="20" t="s">
        <v>374</v>
      </c>
      <c r="D95" s="20" t="s">
        <v>345</v>
      </c>
      <c r="E95" s="20" t="s">
        <v>334</v>
      </c>
      <c r="F95" s="20" t="s">
        <v>324</v>
      </c>
      <c r="G95" s="20" t="s">
        <v>331</v>
      </c>
      <c r="H95" s="20" t="s">
        <v>337</v>
      </c>
      <c r="I95" s="20" t="s">
        <v>332</v>
      </c>
      <c r="J95" s="24">
        <v>0</v>
      </c>
    </row>
    <row r="96" spans="1:10" ht="15" thickBot="1" x14ac:dyDescent="0.35">
      <c r="A96" s="23" t="s">
        <v>451</v>
      </c>
      <c r="B96" s="21">
        <v>45342</v>
      </c>
      <c r="C96" s="20" t="s">
        <v>329</v>
      </c>
      <c r="D96" s="20" t="s">
        <v>340</v>
      </c>
      <c r="E96" s="20" t="s">
        <v>334</v>
      </c>
      <c r="F96" s="20" t="s">
        <v>324</v>
      </c>
      <c r="G96" s="20" t="s">
        <v>331</v>
      </c>
      <c r="H96" s="20" t="s">
        <v>350</v>
      </c>
      <c r="I96" s="20" t="s">
        <v>351</v>
      </c>
      <c r="J96" s="24">
        <v>3</v>
      </c>
    </row>
    <row r="97" spans="1:10" ht="15" thickBot="1" x14ac:dyDescent="0.35">
      <c r="A97" s="23" t="s">
        <v>452</v>
      </c>
      <c r="B97" s="21">
        <v>45313</v>
      </c>
      <c r="C97" s="20" t="s">
        <v>344</v>
      </c>
      <c r="D97" s="20" t="s">
        <v>345</v>
      </c>
      <c r="E97" s="20" t="s">
        <v>348</v>
      </c>
      <c r="F97" s="20" t="s">
        <v>324</v>
      </c>
      <c r="G97" s="20" t="s">
        <v>336</v>
      </c>
      <c r="H97" s="20" t="s">
        <v>350</v>
      </c>
      <c r="I97" s="20" t="s">
        <v>351</v>
      </c>
      <c r="J97" s="24">
        <v>5</v>
      </c>
    </row>
    <row r="98" spans="1:10" ht="15" thickBot="1" x14ac:dyDescent="0.35">
      <c r="A98" s="23" t="s">
        <v>453</v>
      </c>
      <c r="B98" s="21">
        <v>45403</v>
      </c>
      <c r="C98" s="20" t="s">
        <v>353</v>
      </c>
      <c r="D98" s="20" t="s">
        <v>363</v>
      </c>
      <c r="E98" s="20" t="s">
        <v>341</v>
      </c>
      <c r="F98" s="20" t="s">
        <v>335</v>
      </c>
      <c r="G98" s="20" t="s">
        <v>331</v>
      </c>
      <c r="H98" s="20" t="s">
        <v>337</v>
      </c>
      <c r="I98" s="20" t="s">
        <v>351</v>
      </c>
      <c r="J98" s="24">
        <v>3</v>
      </c>
    </row>
    <row r="99" spans="1:10" ht="15" thickBot="1" x14ac:dyDescent="0.35">
      <c r="A99" s="23" t="s">
        <v>454</v>
      </c>
      <c r="B99" s="21">
        <v>45390</v>
      </c>
      <c r="C99" s="20" t="s">
        <v>353</v>
      </c>
      <c r="D99" s="20" t="s">
        <v>365</v>
      </c>
      <c r="E99" s="20" t="s">
        <v>360</v>
      </c>
      <c r="F99" s="20" t="s">
        <v>335</v>
      </c>
      <c r="G99" s="20" t="s">
        <v>356</v>
      </c>
      <c r="H99" s="20" t="s">
        <v>361</v>
      </c>
      <c r="I99" s="20" t="s">
        <v>354</v>
      </c>
      <c r="J99" s="24">
        <v>0</v>
      </c>
    </row>
    <row r="100" spans="1:10" ht="15" thickBot="1" x14ac:dyDescent="0.35">
      <c r="A100" s="23" t="s">
        <v>455</v>
      </c>
      <c r="B100" s="21">
        <v>45464</v>
      </c>
      <c r="C100" s="20" t="s">
        <v>374</v>
      </c>
      <c r="D100" s="20" t="s">
        <v>322</v>
      </c>
      <c r="E100" s="20" t="s">
        <v>323</v>
      </c>
      <c r="F100" s="20" t="s">
        <v>324</v>
      </c>
      <c r="G100" s="20" t="s">
        <v>356</v>
      </c>
      <c r="H100" s="20" t="s">
        <v>350</v>
      </c>
      <c r="I100" s="20" t="s">
        <v>351</v>
      </c>
      <c r="J100" s="24">
        <v>4</v>
      </c>
    </row>
    <row r="101" spans="1:10" x14ac:dyDescent="0.3">
      <c r="A101" s="28" t="s">
        <v>456</v>
      </c>
      <c r="B101" s="29">
        <v>45317</v>
      </c>
      <c r="C101" s="30" t="s">
        <v>359</v>
      </c>
      <c r="D101" s="30" t="s">
        <v>365</v>
      </c>
      <c r="E101" s="30" t="s">
        <v>360</v>
      </c>
      <c r="F101" s="30" t="s">
        <v>335</v>
      </c>
      <c r="G101" s="30" t="s">
        <v>331</v>
      </c>
      <c r="H101" s="30" t="s">
        <v>361</v>
      </c>
      <c r="I101" s="30" t="s">
        <v>327</v>
      </c>
      <c r="J101" s="31">
        <v>2</v>
      </c>
    </row>
  </sheetData>
  <pageMargins left="0.7" right="0.7" top="0.75" bottom="0.75" header="0.3" footer="0.3"/>
  <pageSetup paperSize="9" scale="45"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67FA-67E0-468B-BD61-9A2794CE1131}">
  <dimension ref="A1:U56"/>
  <sheetViews>
    <sheetView showGridLines="0" view="pageBreakPreview" zoomScale="60" zoomScaleNormal="40" workbookViewId="0">
      <selection activeCell="AB28" sqref="AB28"/>
    </sheetView>
  </sheetViews>
  <sheetFormatPr defaultRowHeight="14.4" x14ac:dyDescent="0.3"/>
  <cols>
    <col min="1" max="1" width="21.77734375" customWidth="1"/>
    <col min="2" max="2" width="25.33203125" customWidth="1"/>
    <col min="13" max="13" width="25.6640625" bestFit="1" customWidth="1"/>
    <col min="14" max="14" width="22.5546875" bestFit="1" customWidth="1"/>
    <col min="15" max="15" width="8.109375" bestFit="1" customWidth="1"/>
    <col min="16" max="16" width="12" bestFit="1" customWidth="1"/>
    <col min="17" max="17" width="16.5546875" customWidth="1"/>
    <col min="18" max="18" width="15.33203125" bestFit="1" customWidth="1"/>
    <col min="20" max="20" width="21.77734375" customWidth="1"/>
    <col min="21" max="21" width="25.5546875" customWidth="1"/>
  </cols>
  <sheetData>
    <row r="1" spans="1:21" x14ac:dyDescent="0.3">
      <c r="A1" s="19"/>
      <c r="T1" s="19"/>
    </row>
    <row r="2" spans="1:21" x14ac:dyDescent="0.3">
      <c r="T2" s="18" t="s">
        <v>303</v>
      </c>
      <c r="U2" t="s">
        <v>457</v>
      </c>
    </row>
    <row r="3" spans="1:21" x14ac:dyDescent="0.3">
      <c r="A3" s="18" t="s">
        <v>303</v>
      </c>
      <c r="B3" t="s">
        <v>457</v>
      </c>
      <c r="T3" s="3" t="s">
        <v>342</v>
      </c>
      <c r="U3">
        <v>15</v>
      </c>
    </row>
    <row r="4" spans="1:21" x14ac:dyDescent="0.3">
      <c r="A4" s="3" t="s">
        <v>359</v>
      </c>
      <c r="B4">
        <v>9</v>
      </c>
      <c r="T4" s="3" t="s">
        <v>332</v>
      </c>
      <c r="U4">
        <v>14</v>
      </c>
    </row>
    <row r="5" spans="1:21" x14ac:dyDescent="0.3">
      <c r="A5" s="3" t="s">
        <v>344</v>
      </c>
      <c r="B5">
        <v>14</v>
      </c>
      <c r="T5" s="3" t="s">
        <v>351</v>
      </c>
      <c r="U5">
        <v>20</v>
      </c>
    </row>
    <row r="6" spans="1:21" x14ac:dyDescent="0.3">
      <c r="A6" s="3" t="s">
        <v>368</v>
      </c>
      <c r="B6">
        <v>12</v>
      </c>
      <c r="T6" s="3" t="s">
        <v>327</v>
      </c>
      <c r="U6">
        <v>17</v>
      </c>
    </row>
    <row r="7" spans="1:21" x14ac:dyDescent="0.3">
      <c r="A7" s="3" t="s">
        <v>353</v>
      </c>
      <c r="B7">
        <v>9</v>
      </c>
      <c r="T7" s="3" t="s">
        <v>354</v>
      </c>
      <c r="U7">
        <v>20</v>
      </c>
    </row>
    <row r="8" spans="1:21" x14ac:dyDescent="0.3">
      <c r="A8" s="3" t="s">
        <v>321</v>
      </c>
      <c r="B8">
        <v>17</v>
      </c>
      <c r="T8" s="3" t="s">
        <v>346</v>
      </c>
      <c r="U8">
        <v>14</v>
      </c>
    </row>
    <row r="9" spans="1:21" x14ac:dyDescent="0.3">
      <c r="A9" s="3" t="s">
        <v>374</v>
      </c>
      <c r="B9">
        <v>13</v>
      </c>
      <c r="T9" s="3" t="s">
        <v>305</v>
      </c>
      <c r="U9">
        <v>100</v>
      </c>
    </row>
    <row r="10" spans="1:21" x14ac:dyDescent="0.3">
      <c r="A10" s="3" t="s">
        <v>329</v>
      </c>
      <c r="B10">
        <v>15</v>
      </c>
    </row>
    <row r="11" spans="1:21" x14ac:dyDescent="0.3">
      <c r="A11" s="3" t="s">
        <v>339</v>
      </c>
      <c r="B11">
        <v>11</v>
      </c>
    </row>
    <row r="12" spans="1:21" x14ac:dyDescent="0.3">
      <c r="A12" s="3" t="s">
        <v>305</v>
      </c>
      <c r="B12">
        <v>100</v>
      </c>
    </row>
    <row r="16" spans="1:21" x14ac:dyDescent="0.3">
      <c r="T16" s="18" t="s">
        <v>303</v>
      </c>
      <c r="U16" t="s">
        <v>457</v>
      </c>
    </row>
    <row r="17" spans="1:21" x14ac:dyDescent="0.3">
      <c r="T17" s="3" t="s">
        <v>324</v>
      </c>
      <c r="U17">
        <v>30</v>
      </c>
    </row>
    <row r="18" spans="1:21" x14ac:dyDescent="0.3">
      <c r="T18" s="3" t="s">
        <v>330</v>
      </c>
      <c r="U18">
        <v>23</v>
      </c>
    </row>
    <row r="19" spans="1:21" x14ac:dyDescent="0.3">
      <c r="T19" s="3" t="s">
        <v>349</v>
      </c>
      <c r="U19">
        <v>22</v>
      </c>
    </row>
    <row r="20" spans="1:21" x14ac:dyDescent="0.3">
      <c r="A20" s="19"/>
      <c r="T20" s="3" t="s">
        <v>335</v>
      </c>
      <c r="U20">
        <v>25</v>
      </c>
    </row>
    <row r="21" spans="1:21" x14ac:dyDescent="0.3">
      <c r="A21" s="18" t="s">
        <v>303</v>
      </c>
      <c r="B21" t="s">
        <v>457</v>
      </c>
      <c r="T21" s="3" t="s">
        <v>305</v>
      </c>
      <c r="U21">
        <v>100</v>
      </c>
    </row>
    <row r="22" spans="1:21" x14ac:dyDescent="0.3">
      <c r="A22" s="3" t="s">
        <v>323</v>
      </c>
      <c r="B22">
        <v>19</v>
      </c>
    </row>
    <row r="23" spans="1:21" x14ac:dyDescent="0.3">
      <c r="A23" s="3" t="s">
        <v>334</v>
      </c>
      <c r="B23">
        <v>15</v>
      </c>
    </row>
    <row r="24" spans="1:21" x14ac:dyDescent="0.3">
      <c r="A24" s="3" t="s">
        <v>369</v>
      </c>
      <c r="B24">
        <v>11</v>
      </c>
    </row>
    <row r="25" spans="1:21" x14ac:dyDescent="0.3">
      <c r="A25" s="3" t="s">
        <v>348</v>
      </c>
      <c r="B25">
        <v>22</v>
      </c>
    </row>
    <row r="26" spans="1:21" x14ac:dyDescent="0.3">
      <c r="A26" s="3" t="s">
        <v>360</v>
      </c>
      <c r="B26">
        <v>21</v>
      </c>
    </row>
    <row r="27" spans="1:21" x14ac:dyDescent="0.3">
      <c r="A27" s="3" t="s">
        <v>341</v>
      </c>
      <c r="B27">
        <v>12</v>
      </c>
    </row>
    <row r="28" spans="1:21" x14ac:dyDescent="0.3">
      <c r="A28" s="3" t="s">
        <v>305</v>
      </c>
      <c r="B28">
        <v>100</v>
      </c>
    </row>
    <row r="30" spans="1:21" x14ac:dyDescent="0.3">
      <c r="T30" s="18" t="s">
        <v>303</v>
      </c>
      <c r="U30" t="s">
        <v>458</v>
      </c>
    </row>
    <row r="31" spans="1:21" x14ac:dyDescent="0.3">
      <c r="T31" s="3" t="s">
        <v>359</v>
      </c>
      <c r="U31">
        <v>25</v>
      </c>
    </row>
    <row r="32" spans="1:21" x14ac:dyDescent="0.3">
      <c r="T32" s="3" t="s">
        <v>344</v>
      </c>
      <c r="U32">
        <v>34</v>
      </c>
    </row>
    <row r="33" spans="1:21" x14ac:dyDescent="0.3">
      <c r="T33" s="3" t="s">
        <v>368</v>
      </c>
      <c r="U33">
        <v>23</v>
      </c>
    </row>
    <row r="34" spans="1:21" x14ac:dyDescent="0.3">
      <c r="T34" s="3" t="s">
        <v>353</v>
      </c>
      <c r="U34">
        <v>20</v>
      </c>
    </row>
    <row r="35" spans="1:21" x14ac:dyDescent="0.3">
      <c r="T35" s="3" t="s">
        <v>321</v>
      </c>
      <c r="U35">
        <v>49</v>
      </c>
    </row>
    <row r="36" spans="1:21" x14ac:dyDescent="0.3">
      <c r="T36" s="3" t="s">
        <v>374</v>
      </c>
      <c r="U36">
        <v>43</v>
      </c>
    </row>
    <row r="37" spans="1:21" x14ac:dyDescent="0.3">
      <c r="A37" s="19"/>
      <c r="T37" s="3" t="s">
        <v>329</v>
      </c>
      <c r="U37">
        <v>36</v>
      </c>
    </row>
    <row r="38" spans="1:21" x14ac:dyDescent="0.3">
      <c r="T38" s="3" t="s">
        <v>339</v>
      </c>
      <c r="U38">
        <v>22</v>
      </c>
    </row>
    <row r="39" spans="1:21" x14ac:dyDescent="0.3">
      <c r="A39" s="18" t="s">
        <v>303</v>
      </c>
      <c r="B39" t="s">
        <v>457</v>
      </c>
      <c r="T39" s="3" t="s">
        <v>305</v>
      </c>
      <c r="U39">
        <v>252</v>
      </c>
    </row>
    <row r="40" spans="1:21" x14ac:dyDescent="0.3">
      <c r="A40" s="3" t="s">
        <v>337</v>
      </c>
      <c r="B40">
        <v>24</v>
      </c>
    </row>
    <row r="41" spans="1:21" x14ac:dyDescent="0.3">
      <c r="A41" s="3" t="s">
        <v>350</v>
      </c>
      <c r="B41">
        <v>26</v>
      </c>
    </row>
    <row r="42" spans="1:21" x14ac:dyDescent="0.3">
      <c r="A42" s="3" t="s">
        <v>326</v>
      </c>
      <c r="B42">
        <v>22</v>
      </c>
    </row>
    <row r="43" spans="1:21" x14ac:dyDescent="0.3">
      <c r="A43" s="3" t="s">
        <v>361</v>
      </c>
      <c r="B43">
        <v>28</v>
      </c>
    </row>
    <row r="44" spans="1:21" x14ac:dyDescent="0.3">
      <c r="A44" s="3" t="s">
        <v>305</v>
      </c>
      <c r="B44">
        <v>100</v>
      </c>
    </row>
    <row r="49" spans="12:17" x14ac:dyDescent="0.3">
      <c r="L49" s="18" t="s">
        <v>457</v>
      </c>
      <c r="M49" s="18" t="s">
        <v>460</v>
      </c>
    </row>
    <row r="50" spans="12:17" x14ac:dyDescent="0.3">
      <c r="L50" s="18" t="s">
        <v>303</v>
      </c>
      <c r="M50" t="s">
        <v>337</v>
      </c>
      <c r="N50" t="s">
        <v>350</v>
      </c>
      <c r="O50" t="s">
        <v>326</v>
      </c>
      <c r="P50" t="s">
        <v>361</v>
      </c>
      <c r="Q50" t="s">
        <v>305</v>
      </c>
    </row>
    <row r="51" spans="12:17" x14ac:dyDescent="0.3">
      <c r="L51" s="3" t="s">
        <v>331</v>
      </c>
      <c r="M51">
        <v>9</v>
      </c>
      <c r="N51">
        <v>6</v>
      </c>
      <c r="O51">
        <v>8</v>
      </c>
      <c r="P51">
        <v>4</v>
      </c>
      <c r="Q51">
        <v>27</v>
      </c>
    </row>
    <row r="52" spans="12:17" x14ac:dyDescent="0.3">
      <c r="L52" s="3" t="s">
        <v>325</v>
      </c>
      <c r="M52">
        <v>3</v>
      </c>
      <c r="N52">
        <v>7</v>
      </c>
      <c r="O52">
        <v>5</v>
      </c>
      <c r="P52">
        <v>8</v>
      </c>
      <c r="Q52">
        <v>23</v>
      </c>
    </row>
    <row r="53" spans="12:17" x14ac:dyDescent="0.3">
      <c r="L53" s="3" t="s">
        <v>336</v>
      </c>
      <c r="M53">
        <v>6</v>
      </c>
      <c r="N53">
        <v>8</v>
      </c>
      <c r="O53">
        <v>6</v>
      </c>
      <c r="P53">
        <v>8</v>
      </c>
      <c r="Q53">
        <v>28</v>
      </c>
    </row>
    <row r="54" spans="12:17" x14ac:dyDescent="0.3">
      <c r="L54" s="3" t="s">
        <v>356</v>
      </c>
      <c r="M54">
        <v>6</v>
      </c>
      <c r="N54">
        <v>5</v>
      </c>
      <c r="O54">
        <v>3</v>
      </c>
      <c r="P54">
        <v>8</v>
      </c>
      <c r="Q54">
        <v>22</v>
      </c>
    </row>
    <row r="55" spans="12:17" x14ac:dyDescent="0.3">
      <c r="L55" s="3" t="s">
        <v>305</v>
      </c>
      <c r="M55">
        <v>24</v>
      </c>
      <c r="N55">
        <v>26</v>
      </c>
      <c r="O55">
        <v>22</v>
      </c>
      <c r="P55">
        <v>28</v>
      </c>
      <c r="Q55">
        <v>100</v>
      </c>
    </row>
    <row r="56" spans="12:17" x14ac:dyDescent="0.3">
      <c r="N56" s="32" t="s">
        <v>459</v>
      </c>
      <c r="O56" s="32"/>
      <c r="P56" s="32"/>
      <c r="Q56" s="32"/>
    </row>
  </sheetData>
  <mergeCells count="1">
    <mergeCell ref="N56:Q56"/>
  </mergeCells>
  <pageMargins left="0.7" right="0.7" top="0.75" bottom="0.75" header="0.3" footer="0.3"/>
  <pageSetup paperSize="9" scale="26" orientation="portrait" r:id="rId8"/>
  <drawing r:id="rId9"/>
  <extLst>
    <ext xmlns:x15="http://schemas.microsoft.com/office/spreadsheetml/2010/11/main" uri="{3A4CF648-6AED-40f4-86FF-DC5316D8AED3}">
      <x14:slicerList xmlns:x14="http://schemas.microsoft.com/office/spreadsheetml/2009/9/main">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804B-0152-4ACD-A1B0-799ACEA91008}">
  <sheetPr codeName="Sheet1"/>
  <dimension ref="A1:D11"/>
  <sheetViews>
    <sheetView view="pageBreakPreview" zoomScale="60" zoomScaleNormal="100" workbookViewId="0">
      <selection activeCell="D25" sqref="D25"/>
    </sheetView>
  </sheetViews>
  <sheetFormatPr defaultRowHeight="14.4" x14ac:dyDescent="0.3"/>
  <cols>
    <col min="1" max="1" width="14.33203125" style="4" customWidth="1"/>
    <col min="2" max="2" width="16.33203125" style="4" customWidth="1"/>
    <col min="3" max="3" width="17.44140625" style="4" customWidth="1"/>
    <col min="4" max="4" width="24.44140625" style="4" customWidth="1"/>
    <col min="5" max="16384" width="8.88671875" style="4"/>
  </cols>
  <sheetData>
    <row r="1" spans="1:4" x14ac:dyDescent="0.3">
      <c r="A1" s="2" t="s">
        <v>0</v>
      </c>
      <c r="B1" s="2" t="s">
        <v>1</v>
      </c>
      <c r="C1" s="2" t="s">
        <v>2</v>
      </c>
      <c r="D1" s="2" t="s">
        <v>3</v>
      </c>
    </row>
    <row r="2" spans="1:4" x14ac:dyDescent="0.3">
      <c r="A2" s="1" t="s">
        <v>4</v>
      </c>
      <c r="B2" s="1" t="s">
        <v>5</v>
      </c>
      <c r="C2" s="1" t="s">
        <v>6</v>
      </c>
      <c r="D2" s="5">
        <v>8</v>
      </c>
    </row>
    <row r="3" spans="1:4" x14ac:dyDescent="0.3">
      <c r="A3" s="1" t="s">
        <v>7</v>
      </c>
      <c r="B3" s="1" t="s">
        <v>8</v>
      </c>
      <c r="C3" s="1" t="s">
        <v>6</v>
      </c>
      <c r="D3" s="1">
        <v>45</v>
      </c>
    </row>
    <row r="4" spans="1:4" x14ac:dyDescent="0.3">
      <c r="A4" s="1" t="s">
        <v>9</v>
      </c>
      <c r="B4" s="1" t="s">
        <v>10</v>
      </c>
      <c r="C4" s="1" t="s">
        <v>6</v>
      </c>
      <c r="D4" s="6">
        <v>60</v>
      </c>
    </row>
    <row r="5" spans="1:4" x14ac:dyDescent="0.3">
      <c r="A5" s="1" t="s">
        <v>11</v>
      </c>
      <c r="B5" s="1" t="s">
        <v>12</v>
      </c>
      <c r="C5" s="1" t="s">
        <v>6</v>
      </c>
      <c r="D5" s="5">
        <v>6</v>
      </c>
    </row>
    <row r="6" spans="1:4" x14ac:dyDescent="0.3">
      <c r="A6" s="1" t="s">
        <v>13</v>
      </c>
      <c r="B6" s="1" t="s">
        <v>14</v>
      </c>
      <c r="C6" s="1" t="s">
        <v>15</v>
      </c>
      <c r="D6" s="1">
        <v>25</v>
      </c>
    </row>
    <row r="7" spans="1:4" x14ac:dyDescent="0.3">
      <c r="A7" s="1" t="s">
        <v>16</v>
      </c>
      <c r="B7" s="1" t="s">
        <v>17</v>
      </c>
      <c r="C7" s="1" t="s">
        <v>15</v>
      </c>
      <c r="D7" s="6">
        <v>55</v>
      </c>
    </row>
    <row r="8" spans="1:4" x14ac:dyDescent="0.3">
      <c r="A8" s="1" t="s">
        <v>18</v>
      </c>
      <c r="B8" s="1" t="s">
        <v>19</v>
      </c>
      <c r="C8" s="1" t="s">
        <v>20</v>
      </c>
      <c r="D8" s="6">
        <v>120</v>
      </c>
    </row>
    <row r="9" spans="1:4" x14ac:dyDescent="0.3">
      <c r="A9" s="1" t="s">
        <v>21</v>
      </c>
      <c r="B9" s="1" t="s">
        <v>22</v>
      </c>
      <c r="C9" s="1" t="s">
        <v>20</v>
      </c>
      <c r="D9" s="5">
        <v>9</v>
      </c>
    </row>
    <row r="10" spans="1:4" x14ac:dyDescent="0.3">
      <c r="A10" s="1" t="s">
        <v>23</v>
      </c>
      <c r="B10" s="1" t="s">
        <v>24</v>
      </c>
      <c r="C10" s="1" t="s">
        <v>20</v>
      </c>
      <c r="D10" s="1">
        <v>15</v>
      </c>
    </row>
    <row r="11" spans="1:4" x14ac:dyDescent="0.3">
      <c r="A11" s="1" t="s">
        <v>25</v>
      </c>
      <c r="B11" s="1" t="s">
        <v>26</v>
      </c>
      <c r="C11" s="1" t="s">
        <v>6</v>
      </c>
      <c r="D11" s="5">
        <v>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0506-DC18-41DE-B8D3-715F73BE342A}">
  <sheetPr codeName="Sheet2"/>
  <dimension ref="A1:N50"/>
  <sheetViews>
    <sheetView view="pageBreakPreview" zoomScale="60" zoomScaleNormal="90" workbookViewId="0"/>
  </sheetViews>
  <sheetFormatPr defaultRowHeight="14.4" x14ac:dyDescent="0.3"/>
  <cols>
    <col min="2" max="2" width="14.77734375" customWidth="1"/>
    <col min="3" max="3" width="15.5546875" customWidth="1"/>
    <col min="4" max="4" width="11.5546875" customWidth="1"/>
    <col min="5" max="5" width="14.44140625" customWidth="1"/>
    <col min="6" max="6" width="13.33203125" customWidth="1"/>
    <col min="8" max="8" width="10.88671875" customWidth="1"/>
    <col min="9" max="9" width="11.109375" customWidth="1"/>
    <col min="10" max="10" width="10" customWidth="1"/>
    <col min="11" max="11" width="11.44140625" customWidth="1"/>
    <col min="12" max="12" width="13.44140625" customWidth="1"/>
    <col min="13" max="13" width="17.33203125" customWidth="1"/>
  </cols>
  <sheetData>
    <row r="1" spans="1:14" ht="43.8" thickBot="1" x14ac:dyDescent="0.35">
      <c r="A1" s="7" t="s">
        <v>27</v>
      </c>
      <c r="B1" s="8" t="s">
        <v>28</v>
      </c>
      <c r="C1" s="8" t="s">
        <v>29</v>
      </c>
      <c r="D1" s="8" t="s">
        <v>30</v>
      </c>
      <c r="E1" s="8" t="s">
        <v>31</v>
      </c>
      <c r="F1" s="8" t="s">
        <v>1</v>
      </c>
      <c r="G1" s="8" t="s">
        <v>32</v>
      </c>
      <c r="H1" s="8" t="s">
        <v>33</v>
      </c>
      <c r="I1" s="8" t="s">
        <v>34</v>
      </c>
      <c r="J1" s="8" t="s">
        <v>35</v>
      </c>
      <c r="K1" s="8" t="s">
        <v>36</v>
      </c>
      <c r="L1" s="8" t="s">
        <v>37</v>
      </c>
      <c r="M1" s="11" t="s">
        <v>143</v>
      </c>
      <c r="N1" s="11" t="s">
        <v>144</v>
      </c>
    </row>
    <row r="2" spans="1:14" ht="15" thickBot="1" x14ac:dyDescent="0.35">
      <c r="A2" s="9">
        <v>1001</v>
      </c>
      <c r="B2" s="10">
        <v>45658</v>
      </c>
      <c r="C2" s="9" t="s">
        <v>38</v>
      </c>
      <c r="D2" s="9" t="s">
        <v>39</v>
      </c>
      <c r="E2" s="9" t="s">
        <v>6</v>
      </c>
      <c r="F2" s="9" t="s">
        <v>40</v>
      </c>
      <c r="G2" s="9">
        <v>10</v>
      </c>
      <c r="H2" s="9">
        <v>999</v>
      </c>
      <c r="I2" s="9">
        <v>999</v>
      </c>
      <c r="J2" s="9">
        <v>998001</v>
      </c>
      <c r="K2" s="9">
        <v>28</v>
      </c>
      <c r="L2" s="9" t="s">
        <v>41</v>
      </c>
      <c r="M2" t="s">
        <v>77</v>
      </c>
      <c r="N2">
        <f>VLOOKUP(M2, F2:H51, 3, FALSE)</f>
        <v>1499</v>
      </c>
    </row>
    <row r="3" spans="1:14" ht="15" thickBot="1" x14ac:dyDescent="0.35">
      <c r="A3" s="9">
        <v>1003</v>
      </c>
      <c r="B3" s="10">
        <v>45660</v>
      </c>
      <c r="C3" s="9" t="s">
        <v>42</v>
      </c>
      <c r="D3" s="9" t="s">
        <v>43</v>
      </c>
      <c r="E3" s="9" t="s">
        <v>44</v>
      </c>
      <c r="F3" s="9" t="s">
        <v>45</v>
      </c>
      <c r="G3" s="9">
        <v>3</v>
      </c>
      <c r="H3" s="9">
        <v>1999</v>
      </c>
      <c r="I3" s="9">
        <v>5997</v>
      </c>
      <c r="J3" s="9">
        <v>25</v>
      </c>
      <c r="K3" s="9">
        <v>40</v>
      </c>
      <c r="L3" s="9" t="s">
        <v>46</v>
      </c>
    </row>
    <row r="4" spans="1:14" ht="29.4" thickBot="1" x14ac:dyDescent="0.35">
      <c r="A4" s="9">
        <v>1004</v>
      </c>
      <c r="B4" s="10">
        <v>45661</v>
      </c>
      <c r="C4" s="9" t="s">
        <v>47</v>
      </c>
      <c r="D4" s="9" t="s">
        <v>48</v>
      </c>
      <c r="E4" s="9" t="s">
        <v>6</v>
      </c>
      <c r="F4" s="9" t="s">
        <v>49</v>
      </c>
      <c r="G4" s="9">
        <v>6</v>
      </c>
      <c r="H4" s="9">
        <v>2499</v>
      </c>
      <c r="I4" s="9">
        <v>9996</v>
      </c>
      <c r="J4" s="9">
        <v>30</v>
      </c>
      <c r="K4" s="9">
        <v>24</v>
      </c>
      <c r="L4" s="9" t="s">
        <v>50</v>
      </c>
    </row>
    <row r="5" spans="1:14" ht="15" thickBot="1" x14ac:dyDescent="0.35">
      <c r="A5" s="9">
        <v>1005</v>
      </c>
      <c r="B5" s="10">
        <v>45662</v>
      </c>
      <c r="C5" s="9" t="s">
        <v>51</v>
      </c>
      <c r="D5" s="9" t="s">
        <v>39</v>
      </c>
      <c r="E5" s="9" t="s">
        <v>52</v>
      </c>
      <c r="F5" s="9" t="s">
        <v>53</v>
      </c>
      <c r="G5" s="9">
        <v>8</v>
      </c>
      <c r="H5" s="9">
        <v>2999</v>
      </c>
      <c r="I5" s="9">
        <v>14995</v>
      </c>
      <c r="J5" s="9">
        <v>18</v>
      </c>
      <c r="K5" s="9">
        <v>31</v>
      </c>
      <c r="L5" s="9" t="s">
        <v>41</v>
      </c>
    </row>
    <row r="6" spans="1:14" ht="15" thickBot="1" x14ac:dyDescent="0.35">
      <c r="A6" s="9">
        <v>1006</v>
      </c>
      <c r="B6" s="10">
        <v>45663</v>
      </c>
      <c r="C6" s="9" t="s">
        <v>54</v>
      </c>
      <c r="D6" s="9" t="s">
        <v>55</v>
      </c>
      <c r="E6" s="9" t="s">
        <v>44</v>
      </c>
      <c r="F6" s="9" t="s">
        <v>5</v>
      </c>
      <c r="G6" s="9">
        <v>3</v>
      </c>
      <c r="H6" s="9">
        <v>999</v>
      </c>
      <c r="I6" s="9">
        <v>4995</v>
      </c>
      <c r="J6" s="9">
        <v>15</v>
      </c>
      <c r="K6" s="9">
        <v>29</v>
      </c>
      <c r="L6" s="9" t="s">
        <v>56</v>
      </c>
    </row>
    <row r="7" spans="1:14" ht="15" thickBot="1" x14ac:dyDescent="0.35">
      <c r="A7" s="9">
        <v>1007</v>
      </c>
      <c r="B7" s="10">
        <v>45664</v>
      </c>
      <c r="C7" s="9" t="s">
        <v>57</v>
      </c>
      <c r="D7" s="9" t="s">
        <v>43</v>
      </c>
      <c r="E7" s="9" t="s">
        <v>6</v>
      </c>
      <c r="F7" s="9" t="s">
        <v>58</v>
      </c>
      <c r="G7" s="9">
        <v>9</v>
      </c>
      <c r="H7" s="9">
        <v>1499</v>
      </c>
      <c r="I7" s="9">
        <v>2998</v>
      </c>
      <c r="J7" s="9">
        <v>20</v>
      </c>
      <c r="K7" s="9">
        <v>45</v>
      </c>
      <c r="L7" s="9" t="s">
        <v>46</v>
      </c>
    </row>
    <row r="8" spans="1:14" ht="15" thickBot="1" x14ac:dyDescent="0.35">
      <c r="A8" s="9">
        <v>1008</v>
      </c>
      <c r="B8" s="10">
        <v>45665</v>
      </c>
      <c r="C8" s="9" t="s">
        <v>59</v>
      </c>
      <c r="D8" s="9" t="s">
        <v>48</v>
      </c>
      <c r="E8" s="9" t="s">
        <v>52</v>
      </c>
      <c r="F8" s="9" t="s">
        <v>60</v>
      </c>
      <c r="G8" s="9">
        <v>5</v>
      </c>
      <c r="H8" s="9">
        <v>1999</v>
      </c>
      <c r="I8" s="9">
        <v>5997</v>
      </c>
      <c r="J8" s="9">
        <v>25</v>
      </c>
      <c r="K8" s="9">
        <v>32</v>
      </c>
      <c r="L8" s="9" t="s">
        <v>50</v>
      </c>
    </row>
    <row r="9" spans="1:14" ht="15" thickBot="1" x14ac:dyDescent="0.35">
      <c r="A9" s="9">
        <v>1009</v>
      </c>
      <c r="B9" s="10">
        <v>45666</v>
      </c>
      <c r="C9" s="9" t="s">
        <v>61</v>
      </c>
      <c r="D9" s="9" t="s">
        <v>39</v>
      </c>
      <c r="E9" s="9" t="s">
        <v>44</v>
      </c>
      <c r="F9" s="9" t="s">
        <v>62</v>
      </c>
      <c r="G9" s="9">
        <v>2</v>
      </c>
      <c r="H9" s="9">
        <v>2499</v>
      </c>
      <c r="I9" s="9">
        <v>19992</v>
      </c>
      <c r="J9" s="9">
        <v>30</v>
      </c>
      <c r="K9" s="9">
        <v>27</v>
      </c>
      <c r="L9" s="9" t="s">
        <v>41</v>
      </c>
    </row>
    <row r="10" spans="1:14" ht="29.4" thickBot="1" x14ac:dyDescent="0.35">
      <c r="A10" s="9">
        <v>10010</v>
      </c>
      <c r="B10" s="10">
        <v>45667</v>
      </c>
      <c r="C10" s="9" t="s">
        <v>63</v>
      </c>
      <c r="D10" s="9" t="s">
        <v>55</v>
      </c>
      <c r="E10" s="9" t="s">
        <v>6</v>
      </c>
      <c r="F10" s="9" t="s">
        <v>64</v>
      </c>
      <c r="G10" s="9">
        <v>7</v>
      </c>
      <c r="H10" s="9">
        <v>2999</v>
      </c>
      <c r="I10" s="9">
        <v>14995</v>
      </c>
      <c r="J10" s="9">
        <v>18</v>
      </c>
      <c r="K10" s="9">
        <v>39</v>
      </c>
      <c r="L10" s="9" t="s">
        <v>56</v>
      </c>
    </row>
    <row r="11" spans="1:14" ht="15" thickBot="1" x14ac:dyDescent="0.35">
      <c r="A11" s="9">
        <v>10011</v>
      </c>
      <c r="B11" s="10">
        <v>45668</v>
      </c>
      <c r="C11" s="9" t="s">
        <v>65</v>
      </c>
      <c r="D11" s="9" t="s">
        <v>43</v>
      </c>
      <c r="E11" s="9" t="s">
        <v>52</v>
      </c>
      <c r="F11" s="9" t="s">
        <v>66</v>
      </c>
      <c r="G11" s="9">
        <v>10</v>
      </c>
      <c r="H11" s="9">
        <v>999</v>
      </c>
      <c r="I11" s="9">
        <v>999</v>
      </c>
      <c r="J11" s="9">
        <v>15</v>
      </c>
      <c r="K11" s="9">
        <v>28</v>
      </c>
      <c r="L11" s="9" t="s">
        <v>46</v>
      </c>
    </row>
    <row r="12" spans="1:14" ht="15" thickBot="1" x14ac:dyDescent="0.35">
      <c r="A12" s="9">
        <v>10012</v>
      </c>
      <c r="B12" s="10">
        <v>45669</v>
      </c>
      <c r="C12" s="9" t="s">
        <v>67</v>
      </c>
      <c r="D12" s="9" t="s">
        <v>48</v>
      </c>
      <c r="E12" s="9" t="s">
        <v>44</v>
      </c>
      <c r="F12" s="9" t="s">
        <v>26</v>
      </c>
      <c r="G12" s="9">
        <v>3</v>
      </c>
      <c r="H12" s="9">
        <v>1499</v>
      </c>
      <c r="I12" s="9">
        <v>11992</v>
      </c>
      <c r="J12" s="9">
        <v>20</v>
      </c>
      <c r="K12" s="9">
        <v>35</v>
      </c>
      <c r="L12" s="9" t="s">
        <v>50</v>
      </c>
    </row>
    <row r="13" spans="1:14" ht="15" thickBot="1" x14ac:dyDescent="0.35">
      <c r="A13" s="9">
        <v>10013</v>
      </c>
      <c r="B13" s="10">
        <v>45670</v>
      </c>
      <c r="C13" s="9" t="s">
        <v>68</v>
      </c>
      <c r="D13" s="9" t="s">
        <v>39</v>
      </c>
      <c r="E13" s="9" t="s">
        <v>6</v>
      </c>
      <c r="F13" s="9" t="s">
        <v>69</v>
      </c>
      <c r="G13" s="9">
        <v>3</v>
      </c>
      <c r="H13" s="9">
        <v>1999</v>
      </c>
      <c r="I13" s="9">
        <v>5997</v>
      </c>
      <c r="J13" s="9">
        <v>25</v>
      </c>
      <c r="K13" s="9">
        <v>40</v>
      </c>
      <c r="L13" s="9" t="s">
        <v>41</v>
      </c>
    </row>
    <row r="14" spans="1:14" ht="15" thickBot="1" x14ac:dyDescent="0.35">
      <c r="A14" s="9">
        <v>10014</v>
      </c>
      <c r="B14" s="10">
        <v>45671</v>
      </c>
      <c r="C14" s="9" t="s">
        <v>70</v>
      </c>
      <c r="D14" s="9" t="s">
        <v>55</v>
      </c>
      <c r="E14" s="9" t="s">
        <v>52</v>
      </c>
      <c r="F14" s="9" t="s">
        <v>71</v>
      </c>
      <c r="G14" s="9">
        <v>6</v>
      </c>
      <c r="H14" s="9">
        <v>2499</v>
      </c>
      <c r="I14" s="9">
        <v>9996</v>
      </c>
      <c r="J14" s="9">
        <v>30</v>
      </c>
      <c r="K14" s="9">
        <v>24</v>
      </c>
      <c r="L14" s="9" t="s">
        <v>56</v>
      </c>
    </row>
    <row r="15" spans="1:14" ht="29.4" thickBot="1" x14ac:dyDescent="0.35">
      <c r="A15" s="9">
        <v>10015</v>
      </c>
      <c r="B15" s="10">
        <v>45672</v>
      </c>
      <c r="C15" s="9" t="s">
        <v>72</v>
      </c>
      <c r="D15" s="9" t="s">
        <v>43</v>
      </c>
      <c r="E15" s="9" t="s">
        <v>44</v>
      </c>
      <c r="F15" s="9" t="s">
        <v>73</v>
      </c>
      <c r="G15" s="9">
        <v>6</v>
      </c>
      <c r="H15" s="9">
        <v>2999</v>
      </c>
      <c r="I15" s="9">
        <v>14995</v>
      </c>
      <c r="J15" s="9">
        <v>18</v>
      </c>
      <c r="K15" s="9">
        <v>31</v>
      </c>
      <c r="L15" s="9" t="s">
        <v>46</v>
      </c>
    </row>
    <row r="16" spans="1:14" ht="15" thickBot="1" x14ac:dyDescent="0.35">
      <c r="A16" s="9">
        <v>10016</v>
      </c>
      <c r="B16" s="10">
        <v>45673</v>
      </c>
      <c r="C16" s="9" t="s">
        <v>74</v>
      </c>
      <c r="D16" s="9" t="s">
        <v>48</v>
      </c>
      <c r="E16" s="9" t="s">
        <v>6</v>
      </c>
      <c r="F16" s="9" t="s">
        <v>75</v>
      </c>
      <c r="G16" s="9">
        <v>10</v>
      </c>
      <c r="H16" s="9">
        <v>999</v>
      </c>
      <c r="I16" s="9">
        <v>5994</v>
      </c>
      <c r="J16" s="9">
        <v>15</v>
      </c>
      <c r="K16" s="9">
        <v>29</v>
      </c>
      <c r="L16" s="9" t="s">
        <v>50</v>
      </c>
    </row>
    <row r="17" spans="1:12" ht="15" thickBot="1" x14ac:dyDescent="0.35">
      <c r="A17" s="9">
        <v>10017</v>
      </c>
      <c r="B17" s="10">
        <v>45674</v>
      </c>
      <c r="C17" s="9" t="s">
        <v>76</v>
      </c>
      <c r="D17" s="9" t="s">
        <v>39</v>
      </c>
      <c r="E17" s="9" t="s">
        <v>52</v>
      </c>
      <c r="F17" s="9" t="s">
        <v>77</v>
      </c>
      <c r="G17" s="9">
        <v>4</v>
      </c>
      <c r="H17" s="9">
        <v>1499</v>
      </c>
      <c r="I17" s="9">
        <v>2998</v>
      </c>
      <c r="J17" s="9">
        <v>20</v>
      </c>
      <c r="K17" s="9">
        <v>45</v>
      </c>
      <c r="L17" s="9" t="s">
        <v>41</v>
      </c>
    </row>
    <row r="18" spans="1:12" ht="15" thickBot="1" x14ac:dyDescent="0.35">
      <c r="A18" s="9">
        <v>10018</v>
      </c>
      <c r="B18" s="10">
        <v>45675</v>
      </c>
      <c r="C18" s="9" t="s">
        <v>78</v>
      </c>
      <c r="D18" s="9" t="s">
        <v>55</v>
      </c>
      <c r="E18" s="9" t="s">
        <v>44</v>
      </c>
      <c r="F18" s="9" t="s">
        <v>79</v>
      </c>
      <c r="G18" s="9">
        <v>5</v>
      </c>
      <c r="H18" s="9">
        <v>1999</v>
      </c>
      <c r="I18" s="9">
        <v>13993</v>
      </c>
      <c r="J18" s="9">
        <v>25</v>
      </c>
      <c r="K18" s="9">
        <v>32</v>
      </c>
      <c r="L18" s="9" t="s">
        <v>56</v>
      </c>
    </row>
    <row r="19" spans="1:12" ht="15" thickBot="1" x14ac:dyDescent="0.35">
      <c r="A19" s="9">
        <v>10019</v>
      </c>
      <c r="B19" s="10">
        <v>45676</v>
      </c>
      <c r="C19" s="9" t="s">
        <v>80</v>
      </c>
      <c r="D19" s="9" t="s">
        <v>43</v>
      </c>
      <c r="E19" s="9" t="s">
        <v>6</v>
      </c>
      <c r="F19" s="9" t="s">
        <v>81</v>
      </c>
      <c r="G19" s="9">
        <v>7</v>
      </c>
      <c r="H19" s="9">
        <v>2499</v>
      </c>
      <c r="I19" s="9">
        <v>9996</v>
      </c>
      <c r="J19" s="9">
        <v>30</v>
      </c>
      <c r="K19" s="9">
        <v>27</v>
      </c>
      <c r="L19" s="9" t="s">
        <v>46</v>
      </c>
    </row>
    <row r="20" spans="1:12" ht="29.4" thickBot="1" x14ac:dyDescent="0.35">
      <c r="A20" s="9">
        <v>10020</v>
      </c>
      <c r="B20" s="10">
        <v>45677</v>
      </c>
      <c r="C20" s="9" t="s">
        <v>82</v>
      </c>
      <c r="D20" s="9" t="s">
        <v>48</v>
      </c>
      <c r="E20" s="9" t="s">
        <v>52</v>
      </c>
      <c r="F20" s="9" t="s">
        <v>83</v>
      </c>
      <c r="G20" s="9">
        <v>6</v>
      </c>
      <c r="H20" s="9">
        <v>2999</v>
      </c>
      <c r="I20" s="9">
        <v>14995</v>
      </c>
      <c r="J20" s="9">
        <v>18</v>
      </c>
      <c r="K20" s="9">
        <v>39</v>
      </c>
      <c r="L20" s="9" t="s">
        <v>50</v>
      </c>
    </row>
    <row r="21" spans="1:12" ht="15" thickBot="1" x14ac:dyDescent="0.35">
      <c r="A21" s="9">
        <v>10021</v>
      </c>
      <c r="B21" s="10">
        <v>45678</v>
      </c>
      <c r="C21" s="9" t="s">
        <v>84</v>
      </c>
      <c r="D21" s="9" t="s">
        <v>39</v>
      </c>
      <c r="E21" s="9" t="s">
        <v>44</v>
      </c>
      <c r="F21" s="9" t="s">
        <v>85</v>
      </c>
      <c r="G21" s="9">
        <v>7</v>
      </c>
      <c r="H21" s="9">
        <v>999</v>
      </c>
      <c r="I21" s="9">
        <v>999</v>
      </c>
      <c r="J21" s="9">
        <v>15</v>
      </c>
      <c r="K21" s="9">
        <v>28</v>
      </c>
      <c r="L21" s="9" t="s">
        <v>41</v>
      </c>
    </row>
    <row r="22" spans="1:12" ht="15" thickBot="1" x14ac:dyDescent="0.35">
      <c r="A22" s="9">
        <v>10022</v>
      </c>
      <c r="B22" s="10">
        <v>45679</v>
      </c>
      <c r="C22" s="9" t="s">
        <v>86</v>
      </c>
      <c r="D22" s="9" t="s">
        <v>55</v>
      </c>
      <c r="E22" s="9" t="s">
        <v>6</v>
      </c>
      <c r="F22" s="9" t="s">
        <v>87</v>
      </c>
      <c r="G22" s="9">
        <v>3</v>
      </c>
      <c r="H22" s="9">
        <v>1499</v>
      </c>
      <c r="I22" s="9">
        <v>17988</v>
      </c>
      <c r="J22" s="9">
        <v>20</v>
      </c>
      <c r="K22" s="9">
        <v>35</v>
      </c>
      <c r="L22" s="9" t="s">
        <v>56</v>
      </c>
    </row>
    <row r="23" spans="1:12" ht="15" thickBot="1" x14ac:dyDescent="0.35">
      <c r="A23" s="9">
        <v>10023</v>
      </c>
      <c r="B23" s="10">
        <v>45680</v>
      </c>
      <c r="C23" s="9" t="s">
        <v>88</v>
      </c>
      <c r="D23" s="9" t="s">
        <v>43</v>
      </c>
      <c r="E23" s="9" t="s">
        <v>52</v>
      </c>
      <c r="F23" s="9" t="s">
        <v>89</v>
      </c>
      <c r="G23" s="9">
        <v>4</v>
      </c>
      <c r="H23" s="9">
        <v>1999</v>
      </c>
      <c r="I23" s="9">
        <v>5997</v>
      </c>
      <c r="J23" s="9">
        <v>25</v>
      </c>
      <c r="K23" s="9">
        <v>40</v>
      </c>
      <c r="L23" s="9" t="s">
        <v>46</v>
      </c>
    </row>
    <row r="24" spans="1:12" ht="15" thickBot="1" x14ac:dyDescent="0.35">
      <c r="A24" s="9">
        <v>10024</v>
      </c>
      <c r="B24" s="10">
        <v>45681</v>
      </c>
      <c r="C24" s="9" t="s">
        <v>90</v>
      </c>
      <c r="D24" s="9" t="s">
        <v>48</v>
      </c>
      <c r="E24" s="9" t="s">
        <v>44</v>
      </c>
      <c r="F24" s="9" t="s">
        <v>91</v>
      </c>
      <c r="G24" s="9">
        <v>10</v>
      </c>
      <c r="H24" s="9">
        <v>2499</v>
      </c>
      <c r="I24" s="9">
        <v>9996</v>
      </c>
      <c r="J24" s="9">
        <v>30</v>
      </c>
      <c r="K24" s="9">
        <v>24</v>
      </c>
      <c r="L24" s="9" t="s">
        <v>50</v>
      </c>
    </row>
    <row r="25" spans="1:12" ht="15" thickBot="1" x14ac:dyDescent="0.35">
      <c r="A25" s="9">
        <v>10025</v>
      </c>
      <c r="B25" s="10">
        <v>45682</v>
      </c>
      <c r="C25" s="9" t="s">
        <v>92</v>
      </c>
      <c r="D25" s="9" t="s">
        <v>39</v>
      </c>
      <c r="E25" s="9" t="s">
        <v>6</v>
      </c>
      <c r="F25" s="9" t="s">
        <v>93</v>
      </c>
      <c r="G25" s="9">
        <v>8</v>
      </c>
      <c r="H25" s="9">
        <v>2999</v>
      </c>
      <c r="I25" s="9">
        <v>14995</v>
      </c>
      <c r="J25" s="9">
        <v>18</v>
      </c>
      <c r="K25" s="9">
        <v>31</v>
      </c>
      <c r="L25" s="9" t="s">
        <v>41</v>
      </c>
    </row>
    <row r="26" spans="1:12" ht="15" thickBot="1" x14ac:dyDescent="0.35">
      <c r="A26" s="9">
        <v>10026</v>
      </c>
      <c r="B26" s="10">
        <v>45683</v>
      </c>
      <c r="C26" s="9" t="s">
        <v>94</v>
      </c>
      <c r="D26" s="9" t="s">
        <v>55</v>
      </c>
      <c r="E26" s="9" t="s">
        <v>52</v>
      </c>
      <c r="F26" s="9" t="s">
        <v>95</v>
      </c>
      <c r="G26" s="9">
        <v>4</v>
      </c>
      <c r="H26" s="9">
        <v>999</v>
      </c>
      <c r="I26" s="9">
        <v>2997</v>
      </c>
      <c r="J26" s="9">
        <v>15</v>
      </c>
      <c r="K26" s="9">
        <v>29</v>
      </c>
      <c r="L26" s="9" t="s">
        <v>56</v>
      </c>
    </row>
    <row r="27" spans="1:12" ht="15" thickBot="1" x14ac:dyDescent="0.35">
      <c r="A27" s="9">
        <v>10027</v>
      </c>
      <c r="B27" s="10">
        <v>45684</v>
      </c>
      <c r="C27" s="9" t="s">
        <v>96</v>
      </c>
      <c r="D27" s="9" t="s">
        <v>43</v>
      </c>
      <c r="E27" s="9" t="s">
        <v>44</v>
      </c>
      <c r="F27" s="9" t="s">
        <v>97</v>
      </c>
      <c r="G27" s="9">
        <v>3</v>
      </c>
      <c r="H27" s="9">
        <v>1499</v>
      </c>
      <c r="I27" s="9">
        <v>2998</v>
      </c>
      <c r="J27" s="9">
        <v>20</v>
      </c>
      <c r="K27" s="9">
        <v>45</v>
      </c>
      <c r="L27" s="9" t="s">
        <v>46</v>
      </c>
    </row>
    <row r="28" spans="1:12" ht="15" thickBot="1" x14ac:dyDescent="0.35">
      <c r="A28" s="9">
        <v>10028</v>
      </c>
      <c r="B28" s="10">
        <v>45685</v>
      </c>
      <c r="C28" s="9" t="s">
        <v>98</v>
      </c>
      <c r="D28" s="9" t="s">
        <v>48</v>
      </c>
      <c r="E28" s="9" t="s">
        <v>6</v>
      </c>
      <c r="F28" s="9" t="s">
        <v>99</v>
      </c>
      <c r="G28" s="9">
        <v>6</v>
      </c>
      <c r="H28" s="9">
        <v>1999</v>
      </c>
      <c r="I28" s="9">
        <v>5997</v>
      </c>
      <c r="J28" s="9">
        <v>25</v>
      </c>
      <c r="K28" s="9">
        <v>32</v>
      </c>
      <c r="L28" s="9" t="s">
        <v>50</v>
      </c>
    </row>
    <row r="29" spans="1:12" ht="15" thickBot="1" x14ac:dyDescent="0.35">
      <c r="A29" s="9">
        <v>10029</v>
      </c>
      <c r="B29" s="10">
        <v>45686</v>
      </c>
      <c r="C29" s="9" t="s">
        <v>100</v>
      </c>
      <c r="D29" s="9" t="s">
        <v>39</v>
      </c>
      <c r="E29" s="9" t="s">
        <v>52</v>
      </c>
      <c r="F29" s="9" t="s">
        <v>101</v>
      </c>
      <c r="G29" s="9">
        <v>7</v>
      </c>
      <c r="H29" s="9">
        <v>2499</v>
      </c>
      <c r="I29" s="9">
        <v>9996</v>
      </c>
      <c r="J29" s="9">
        <v>30</v>
      </c>
      <c r="K29" s="9">
        <v>27</v>
      </c>
      <c r="L29" s="9" t="s">
        <v>41</v>
      </c>
    </row>
    <row r="30" spans="1:12" ht="15" thickBot="1" x14ac:dyDescent="0.35">
      <c r="A30" s="9">
        <v>10030</v>
      </c>
      <c r="B30" s="10">
        <v>45687</v>
      </c>
      <c r="C30" s="9" t="s">
        <v>102</v>
      </c>
      <c r="D30" s="9" t="s">
        <v>55</v>
      </c>
      <c r="E30" s="9" t="s">
        <v>44</v>
      </c>
      <c r="F30" s="9" t="s">
        <v>103</v>
      </c>
      <c r="G30" s="9">
        <v>6</v>
      </c>
      <c r="H30" s="9">
        <v>2999</v>
      </c>
      <c r="I30" s="9">
        <v>26991</v>
      </c>
      <c r="J30" s="9">
        <v>18</v>
      </c>
      <c r="K30" s="9">
        <v>39</v>
      </c>
      <c r="L30" s="9" t="s">
        <v>56</v>
      </c>
    </row>
    <row r="31" spans="1:12" ht="15" thickBot="1" x14ac:dyDescent="0.35">
      <c r="A31" s="9">
        <v>10031</v>
      </c>
      <c r="B31" s="10">
        <v>45688</v>
      </c>
      <c r="C31" s="9" t="s">
        <v>104</v>
      </c>
      <c r="D31" s="9" t="s">
        <v>43</v>
      </c>
      <c r="E31" s="9" t="s">
        <v>6</v>
      </c>
      <c r="F31" s="9" t="s">
        <v>105</v>
      </c>
      <c r="G31" s="9">
        <v>3</v>
      </c>
      <c r="H31" s="9">
        <v>999</v>
      </c>
      <c r="I31" s="9">
        <v>999</v>
      </c>
      <c r="J31" s="9">
        <v>15</v>
      </c>
      <c r="K31" s="9">
        <v>28</v>
      </c>
      <c r="L31" s="9" t="s">
        <v>46</v>
      </c>
    </row>
    <row r="32" spans="1:12" ht="15" thickBot="1" x14ac:dyDescent="0.35">
      <c r="A32" s="9">
        <v>10032</v>
      </c>
      <c r="B32" s="10">
        <v>45689</v>
      </c>
      <c r="C32" s="9" t="s">
        <v>106</v>
      </c>
      <c r="D32" s="9" t="s">
        <v>48</v>
      </c>
      <c r="E32" s="9" t="s">
        <v>52</v>
      </c>
      <c r="F32" s="9" t="s">
        <v>107</v>
      </c>
      <c r="G32" s="9">
        <v>3</v>
      </c>
      <c r="H32" s="9">
        <v>1499</v>
      </c>
      <c r="I32" s="9">
        <v>2998</v>
      </c>
      <c r="J32" s="9">
        <v>20</v>
      </c>
      <c r="K32" s="9">
        <v>35</v>
      </c>
      <c r="L32" s="9" t="s">
        <v>50</v>
      </c>
    </row>
    <row r="33" spans="1:12" ht="15" thickBot="1" x14ac:dyDescent="0.35">
      <c r="A33" s="9">
        <v>10033</v>
      </c>
      <c r="B33" s="10">
        <v>45690</v>
      </c>
      <c r="C33" s="9" t="s">
        <v>108</v>
      </c>
      <c r="D33" s="9" t="s">
        <v>39</v>
      </c>
      <c r="E33" s="9" t="s">
        <v>44</v>
      </c>
      <c r="F33" s="9" t="s">
        <v>109</v>
      </c>
      <c r="G33" s="9">
        <v>7</v>
      </c>
      <c r="H33" s="9">
        <v>1999</v>
      </c>
      <c r="I33" s="9">
        <v>5997</v>
      </c>
      <c r="J33" s="9">
        <v>25</v>
      </c>
      <c r="K33" s="9">
        <v>40</v>
      </c>
      <c r="L33" s="9" t="s">
        <v>41</v>
      </c>
    </row>
    <row r="34" spans="1:12" ht="15" thickBot="1" x14ac:dyDescent="0.35">
      <c r="A34" s="9">
        <v>10034</v>
      </c>
      <c r="B34" s="10">
        <v>45691</v>
      </c>
      <c r="C34" s="9" t="s">
        <v>110</v>
      </c>
      <c r="D34" s="9" t="s">
        <v>55</v>
      </c>
      <c r="E34" s="9" t="s">
        <v>6</v>
      </c>
      <c r="F34" s="9" t="s">
        <v>111</v>
      </c>
      <c r="G34" s="9">
        <v>10</v>
      </c>
      <c r="H34" s="9">
        <v>2499</v>
      </c>
      <c r="I34" s="9">
        <v>9996</v>
      </c>
      <c r="J34" s="9">
        <v>30</v>
      </c>
      <c r="K34" s="9">
        <v>24</v>
      </c>
      <c r="L34" s="9" t="s">
        <v>56</v>
      </c>
    </row>
    <row r="35" spans="1:12" ht="15" thickBot="1" x14ac:dyDescent="0.35">
      <c r="A35" s="9">
        <v>10035</v>
      </c>
      <c r="B35" s="10">
        <v>45692</v>
      </c>
      <c r="C35" s="9" t="s">
        <v>112</v>
      </c>
      <c r="D35" s="9" t="s">
        <v>43</v>
      </c>
      <c r="E35" s="9" t="s">
        <v>52</v>
      </c>
      <c r="F35" s="9" t="s">
        <v>113</v>
      </c>
      <c r="G35" s="9">
        <v>2</v>
      </c>
      <c r="H35" s="9">
        <v>2999</v>
      </c>
      <c r="I35" s="9">
        <v>14995</v>
      </c>
      <c r="J35" s="9">
        <v>18</v>
      </c>
      <c r="K35" s="9">
        <v>31</v>
      </c>
      <c r="L35" s="9" t="s">
        <v>46</v>
      </c>
    </row>
    <row r="36" spans="1:12" ht="15" thickBot="1" x14ac:dyDescent="0.35">
      <c r="A36" s="9">
        <v>10036</v>
      </c>
      <c r="B36" s="10">
        <v>45693</v>
      </c>
      <c r="C36" s="9" t="s">
        <v>114</v>
      </c>
      <c r="D36" s="9" t="s">
        <v>48</v>
      </c>
      <c r="E36" s="9" t="s">
        <v>44</v>
      </c>
      <c r="F36" s="9" t="s">
        <v>115</v>
      </c>
      <c r="G36" s="9">
        <v>6</v>
      </c>
      <c r="H36" s="9">
        <v>999</v>
      </c>
      <c r="I36" s="9">
        <v>999</v>
      </c>
      <c r="J36" s="9">
        <v>15</v>
      </c>
      <c r="K36" s="9">
        <v>29</v>
      </c>
      <c r="L36" s="9" t="s">
        <v>50</v>
      </c>
    </row>
    <row r="37" spans="1:12" ht="15" thickBot="1" x14ac:dyDescent="0.35">
      <c r="A37" s="9">
        <v>10037</v>
      </c>
      <c r="B37" s="10">
        <v>45694</v>
      </c>
      <c r="C37" s="9" t="s">
        <v>116</v>
      </c>
      <c r="D37" s="9" t="s">
        <v>39</v>
      </c>
      <c r="E37" s="9" t="s">
        <v>6</v>
      </c>
      <c r="F37" s="9" t="s">
        <v>117</v>
      </c>
      <c r="G37" s="9">
        <v>7</v>
      </c>
      <c r="H37" s="9">
        <v>1499</v>
      </c>
      <c r="I37" s="9">
        <v>2998</v>
      </c>
      <c r="J37" s="9">
        <v>20</v>
      </c>
      <c r="K37" s="9">
        <v>45</v>
      </c>
      <c r="L37" s="9" t="s">
        <v>41</v>
      </c>
    </row>
    <row r="38" spans="1:12" ht="15" thickBot="1" x14ac:dyDescent="0.35">
      <c r="A38" s="9">
        <v>10038</v>
      </c>
      <c r="B38" s="10">
        <v>45695</v>
      </c>
      <c r="C38" s="9" t="s">
        <v>118</v>
      </c>
      <c r="D38" s="9" t="s">
        <v>55</v>
      </c>
      <c r="E38" s="9" t="s">
        <v>52</v>
      </c>
      <c r="F38" s="9" t="s">
        <v>119</v>
      </c>
      <c r="G38" s="9">
        <v>10</v>
      </c>
      <c r="H38" s="9">
        <v>1999</v>
      </c>
      <c r="I38" s="9">
        <v>3998</v>
      </c>
      <c r="J38" s="9">
        <v>25</v>
      </c>
      <c r="K38" s="9">
        <v>32</v>
      </c>
      <c r="L38" s="9" t="s">
        <v>56</v>
      </c>
    </row>
    <row r="39" spans="1:12" ht="15" thickBot="1" x14ac:dyDescent="0.35">
      <c r="A39" s="9">
        <v>10039</v>
      </c>
      <c r="B39" s="10">
        <v>45696</v>
      </c>
      <c r="C39" s="9" t="s">
        <v>120</v>
      </c>
      <c r="D39" s="9" t="s">
        <v>43</v>
      </c>
      <c r="E39" s="9" t="s">
        <v>44</v>
      </c>
      <c r="F39" s="9" t="s">
        <v>121</v>
      </c>
      <c r="G39" s="9">
        <v>7</v>
      </c>
      <c r="H39" s="9">
        <v>2499</v>
      </c>
      <c r="I39" s="9">
        <v>9996</v>
      </c>
      <c r="J39" s="9">
        <v>30</v>
      </c>
      <c r="K39" s="9">
        <v>27</v>
      </c>
      <c r="L39" s="9" t="s">
        <v>46</v>
      </c>
    </row>
    <row r="40" spans="1:12" ht="15" thickBot="1" x14ac:dyDescent="0.35">
      <c r="A40" s="9">
        <v>10040</v>
      </c>
      <c r="B40" s="10">
        <v>45697</v>
      </c>
      <c r="C40" s="9" t="s">
        <v>122</v>
      </c>
      <c r="D40" s="9" t="s">
        <v>48</v>
      </c>
      <c r="E40" s="9" t="s">
        <v>6</v>
      </c>
      <c r="F40" s="9" t="s">
        <v>123</v>
      </c>
      <c r="G40" s="9">
        <v>7</v>
      </c>
      <c r="H40" s="9">
        <v>2999</v>
      </c>
      <c r="I40" s="9">
        <v>8997</v>
      </c>
      <c r="J40" s="9">
        <v>18</v>
      </c>
      <c r="K40" s="9">
        <v>39</v>
      </c>
      <c r="L40" s="9" t="s">
        <v>50</v>
      </c>
    </row>
    <row r="41" spans="1:12" ht="15" thickBot="1" x14ac:dyDescent="0.35">
      <c r="A41" s="9">
        <v>10041</v>
      </c>
      <c r="B41" s="10">
        <v>45698</v>
      </c>
      <c r="C41" s="9" t="s">
        <v>124</v>
      </c>
      <c r="D41" s="9" t="s">
        <v>39</v>
      </c>
      <c r="E41" s="9" t="s">
        <v>52</v>
      </c>
      <c r="F41" s="9" t="s">
        <v>125</v>
      </c>
      <c r="G41" s="9">
        <v>5</v>
      </c>
      <c r="H41" s="9">
        <v>999</v>
      </c>
      <c r="I41" s="9">
        <v>999</v>
      </c>
      <c r="J41" s="9">
        <v>15</v>
      </c>
      <c r="K41" s="9">
        <v>28</v>
      </c>
      <c r="L41" s="9" t="s">
        <v>41</v>
      </c>
    </row>
    <row r="42" spans="1:12" ht="15" thickBot="1" x14ac:dyDescent="0.35">
      <c r="A42" s="9">
        <v>10042</v>
      </c>
      <c r="B42" s="10">
        <v>45699</v>
      </c>
      <c r="C42" s="9" t="s">
        <v>126</v>
      </c>
      <c r="D42" s="9" t="s">
        <v>55</v>
      </c>
      <c r="E42" s="9" t="s">
        <v>44</v>
      </c>
      <c r="F42" s="9" t="s">
        <v>127</v>
      </c>
      <c r="G42" s="9">
        <v>8</v>
      </c>
      <c r="H42" s="9">
        <v>1499</v>
      </c>
      <c r="I42" s="9">
        <v>2998</v>
      </c>
      <c r="J42" s="9">
        <v>20</v>
      </c>
      <c r="K42" s="9">
        <v>35</v>
      </c>
      <c r="L42" s="9" t="s">
        <v>56</v>
      </c>
    </row>
    <row r="43" spans="1:12" ht="15" thickBot="1" x14ac:dyDescent="0.35">
      <c r="A43" s="9">
        <v>10043</v>
      </c>
      <c r="B43" s="10">
        <v>45700</v>
      </c>
      <c r="C43" s="9" t="s">
        <v>128</v>
      </c>
      <c r="D43" s="9" t="s">
        <v>43</v>
      </c>
      <c r="E43" s="9" t="s">
        <v>6</v>
      </c>
      <c r="F43" s="9" t="s">
        <v>129</v>
      </c>
      <c r="G43" s="9">
        <v>1</v>
      </c>
      <c r="H43" s="9">
        <v>1999</v>
      </c>
      <c r="I43" s="9">
        <v>5997</v>
      </c>
      <c r="J43" s="9">
        <v>25</v>
      </c>
      <c r="K43" s="9">
        <v>40</v>
      </c>
      <c r="L43" s="9" t="s">
        <v>46</v>
      </c>
    </row>
    <row r="44" spans="1:12" ht="15" thickBot="1" x14ac:dyDescent="0.35">
      <c r="A44" s="9">
        <v>10044</v>
      </c>
      <c r="B44" s="10">
        <v>45701</v>
      </c>
      <c r="C44" s="9" t="s">
        <v>130</v>
      </c>
      <c r="D44" s="9" t="s">
        <v>48</v>
      </c>
      <c r="E44" s="9" t="s">
        <v>52</v>
      </c>
      <c r="F44" s="9" t="s">
        <v>12</v>
      </c>
      <c r="G44" s="9">
        <v>6</v>
      </c>
      <c r="H44" s="9">
        <v>2499</v>
      </c>
      <c r="I44" s="9">
        <v>9996</v>
      </c>
      <c r="J44" s="9">
        <v>30</v>
      </c>
      <c r="K44" s="9">
        <v>24</v>
      </c>
      <c r="L44" s="9" t="s">
        <v>50</v>
      </c>
    </row>
    <row r="45" spans="1:12" ht="15" thickBot="1" x14ac:dyDescent="0.35">
      <c r="A45" s="9">
        <v>10045</v>
      </c>
      <c r="B45" s="10">
        <v>45702</v>
      </c>
      <c r="C45" s="9" t="s">
        <v>131</v>
      </c>
      <c r="D45" s="9" t="s">
        <v>39</v>
      </c>
      <c r="E45" s="9" t="s">
        <v>44</v>
      </c>
      <c r="F45" s="9" t="s">
        <v>132</v>
      </c>
      <c r="G45" s="9">
        <v>6</v>
      </c>
      <c r="H45" s="9">
        <v>2999</v>
      </c>
      <c r="I45" s="9">
        <v>14995</v>
      </c>
      <c r="J45" s="9">
        <v>18</v>
      </c>
      <c r="K45" s="9">
        <v>31</v>
      </c>
      <c r="L45" s="9" t="s">
        <v>41</v>
      </c>
    </row>
    <row r="46" spans="1:12" ht="15" thickBot="1" x14ac:dyDescent="0.35">
      <c r="A46" s="9">
        <v>10046</v>
      </c>
      <c r="B46" s="10">
        <v>45703</v>
      </c>
      <c r="C46" s="9" t="s">
        <v>133</v>
      </c>
      <c r="D46" s="9" t="s">
        <v>55</v>
      </c>
      <c r="E46" s="9" t="s">
        <v>6</v>
      </c>
      <c r="F46" s="9" t="s">
        <v>134</v>
      </c>
      <c r="G46" s="9">
        <v>8</v>
      </c>
      <c r="H46" s="9">
        <v>999</v>
      </c>
      <c r="I46" s="9">
        <v>1998</v>
      </c>
      <c r="J46" s="9">
        <v>15</v>
      </c>
      <c r="K46" s="9">
        <v>29</v>
      </c>
      <c r="L46" s="9" t="s">
        <v>56</v>
      </c>
    </row>
    <row r="47" spans="1:12" ht="15" thickBot="1" x14ac:dyDescent="0.35">
      <c r="A47" s="9">
        <v>10047</v>
      </c>
      <c r="B47" s="10">
        <v>45704</v>
      </c>
      <c r="C47" s="9" t="s">
        <v>135</v>
      </c>
      <c r="D47" s="9" t="s">
        <v>43</v>
      </c>
      <c r="E47" s="9" t="s">
        <v>52</v>
      </c>
      <c r="F47" s="9" t="s">
        <v>136</v>
      </c>
      <c r="G47" s="9">
        <v>4</v>
      </c>
      <c r="H47" s="9">
        <v>1499</v>
      </c>
      <c r="I47" s="9">
        <v>2998</v>
      </c>
      <c r="J47" s="9">
        <v>20</v>
      </c>
      <c r="K47" s="9">
        <v>45</v>
      </c>
      <c r="L47" s="9" t="s">
        <v>46</v>
      </c>
    </row>
    <row r="48" spans="1:12" ht="15" thickBot="1" x14ac:dyDescent="0.35">
      <c r="A48" s="9">
        <v>10048</v>
      </c>
      <c r="B48" s="10">
        <v>45705</v>
      </c>
      <c r="C48" s="9" t="s">
        <v>137</v>
      </c>
      <c r="D48" s="9" t="s">
        <v>48</v>
      </c>
      <c r="E48" s="9" t="s">
        <v>44</v>
      </c>
      <c r="F48" s="9" t="s">
        <v>138</v>
      </c>
      <c r="G48" s="9">
        <v>6</v>
      </c>
      <c r="H48" s="9">
        <v>1999</v>
      </c>
      <c r="I48" s="9">
        <v>5997</v>
      </c>
      <c r="J48" s="9">
        <v>25</v>
      </c>
      <c r="K48" s="9">
        <v>32</v>
      </c>
      <c r="L48" s="9" t="s">
        <v>50</v>
      </c>
    </row>
    <row r="49" spans="1:12" ht="29.4" thickBot="1" x14ac:dyDescent="0.35">
      <c r="A49" s="9">
        <v>10049</v>
      </c>
      <c r="B49" s="10">
        <v>45706</v>
      </c>
      <c r="C49" s="9" t="s">
        <v>139</v>
      </c>
      <c r="D49" s="9" t="s">
        <v>39</v>
      </c>
      <c r="E49" s="9" t="s">
        <v>6</v>
      </c>
      <c r="F49" s="9" t="s">
        <v>140</v>
      </c>
      <c r="G49" s="9">
        <v>9</v>
      </c>
      <c r="H49" s="9">
        <v>2499</v>
      </c>
      <c r="I49" s="9">
        <v>22491</v>
      </c>
      <c r="J49" s="9">
        <v>30</v>
      </c>
      <c r="K49" s="9">
        <v>27</v>
      </c>
      <c r="L49" s="9" t="s">
        <v>41</v>
      </c>
    </row>
    <row r="50" spans="1:12" ht="15" thickBot="1" x14ac:dyDescent="0.35">
      <c r="A50" s="9">
        <v>10050</v>
      </c>
      <c r="B50" s="10">
        <v>45707</v>
      </c>
      <c r="C50" s="9" t="s">
        <v>141</v>
      </c>
      <c r="D50" s="9" t="s">
        <v>55</v>
      </c>
      <c r="E50" s="9" t="s">
        <v>52</v>
      </c>
      <c r="F50" s="9" t="s">
        <v>142</v>
      </c>
      <c r="G50" s="9">
        <v>8</v>
      </c>
      <c r="H50" s="9">
        <v>2999</v>
      </c>
      <c r="I50" s="9">
        <v>14995</v>
      </c>
      <c r="J50" s="9">
        <v>18</v>
      </c>
      <c r="K50" s="9">
        <v>39</v>
      </c>
      <c r="L50" s="9" t="s">
        <v>56</v>
      </c>
    </row>
  </sheetData>
  <dataValidations count="1">
    <dataValidation type="list" allowBlank="1" showInputMessage="1" showErrorMessage="1" sqref="M2" xr:uid="{2D861FD0-92DC-452A-B91D-63D1FFD44B7A}">
      <formula1>$F$2:$F$51</formula1>
    </dataValidation>
  </dataValidations>
  <pageMargins left="0.7" right="0.7" top="0.75" bottom="0.75" header="0.3" footer="0.3"/>
  <pageSetup paperSize="9" scale="5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C058-0D0F-4AC4-A9B9-F0714FC4A859}">
  <sheetPr codeName="Sheet4"/>
  <dimension ref="A1:P101"/>
  <sheetViews>
    <sheetView tabSelected="1" view="pageBreakPreview" topLeftCell="A47" zoomScale="60" zoomScaleNormal="100" workbookViewId="0">
      <selection activeCell="W83" sqref="W83"/>
    </sheetView>
  </sheetViews>
  <sheetFormatPr defaultRowHeight="14.4" x14ac:dyDescent="0.3"/>
  <cols>
    <col min="1" max="1" width="16.5546875" style="4" customWidth="1"/>
    <col min="2" max="2" width="11" style="4" customWidth="1"/>
    <col min="3" max="3" width="9" style="4" customWidth="1"/>
    <col min="4" max="4" width="13.5546875" style="4" customWidth="1"/>
    <col min="5" max="5" width="14.44140625" style="4" customWidth="1"/>
    <col min="6" max="6" width="12.6640625" style="4" customWidth="1"/>
    <col min="7" max="7" width="11.109375" style="4" customWidth="1"/>
    <col min="8" max="8" width="11.44140625" style="4" customWidth="1"/>
    <col min="9" max="10" width="10.21875" style="4" customWidth="1"/>
    <col min="11" max="11" width="16.109375" style="4" customWidth="1"/>
    <col min="12" max="12" width="11.109375" style="4" customWidth="1"/>
    <col min="13" max="13" width="13.77734375" style="4" customWidth="1"/>
    <col min="14" max="14" width="10.5546875" style="4" customWidth="1"/>
    <col min="15" max="15" width="14.33203125" style="4" customWidth="1"/>
    <col min="16" max="16384" width="8.88671875" style="4"/>
  </cols>
  <sheetData>
    <row r="1" spans="1:16" x14ac:dyDescent="0.3">
      <c r="A1" s="13" t="s">
        <v>166</v>
      </c>
      <c r="B1" s="13" t="s">
        <v>30</v>
      </c>
      <c r="C1" s="13" t="s">
        <v>167</v>
      </c>
      <c r="D1" s="13" t="s">
        <v>168</v>
      </c>
      <c r="E1" s="13" t="s">
        <v>169</v>
      </c>
      <c r="F1" s="13" t="s">
        <v>2</v>
      </c>
      <c r="G1" s="13" t="s">
        <v>170</v>
      </c>
      <c r="H1" s="13" t="s">
        <v>171</v>
      </c>
      <c r="I1" s="13" t="s">
        <v>172</v>
      </c>
      <c r="J1" s="13" t="s">
        <v>173</v>
      </c>
      <c r="K1" s="13" t="s">
        <v>174</v>
      </c>
      <c r="L1" s="13" t="s">
        <v>175</v>
      </c>
      <c r="M1" s="13" t="s">
        <v>176</v>
      </c>
      <c r="N1" s="13" t="s">
        <v>177</v>
      </c>
    </row>
    <row r="2" spans="1:16" x14ac:dyDescent="0.3">
      <c r="A2" s="14" t="s">
        <v>178</v>
      </c>
      <c r="B2" s="14" t="s">
        <v>179</v>
      </c>
      <c r="C2" s="14" t="s">
        <v>180</v>
      </c>
      <c r="D2" s="14" t="s">
        <v>181</v>
      </c>
      <c r="E2" s="14">
        <v>9515759149</v>
      </c>
      <c r="F2" s="14" t="s">
        <v>182</v>
      </c>
      <c r="G2" s="14" t="s">
        <v>183</v>
      </c>
      <c r="H2" s="14">
        <v>2439.81</v>
      </c>
      <c r="I2" s="14">
        <v>5</v>
      </c>
      <c r="J2" s="14">
        <v>3559.55</v>
      </c>
      <c r="K2" s="14" t="s">
        <v>41</v>
      </c>
      <c r="L2" s="14">
        <v>12199.05</v>
      </c>
      <c r="M2" s="15" t="s">
        <v>184</v>
      </c>
      <c r="N2" s="14">
        <v>29.18</v>
      </c>
      <c r="O2" s="4" t="str">
        <f>IF(L2&gt;=15000,"High",IF(L2&gt;=5000,"Medium","Low"))</f>
        <v>Medium</v>
      </c>
      <c r="P2" s="4">
        <f>ROUND(($J2/$L2 )*100,2)</f>
        <v>29.18</v>
      </c>
    </row>
    <row r="3" spans="1:16" x14ac:dyDescent="0.3">
      <c r="A3" s="14" t="s">
        <v>185</v>
      </c>
      <c r="B3" s="14" t="s">
        <v>179</v>
      </c>
      <c r="C3" s="14" t="s">
        <v>180</v>
      </c>
      <c r="D3" s="14" t="s">
        <v>181</v>
      </c>
      <c r="E3" s="14">
        <v>9720381947</v>
      </c>
      <c r="F3" s="14" t="s">
        <v>15</v>
      </c>
      <c r="G3" s="14" t="s">
        <v>17</v>
      </c>
      <c r="H3" s="14">
        <v>1621.43</v>
      </c>
      <c r="I3" s="14">
        <v>13</v>
      </c>
      <c r="J3" s="14">
        <v>4029.57</v>
      </c>
      <c r="K3" s="14" t="s">
        <v>186</v>
      </c>
      <c r="L3" s="14">
        <v>21078.59</v>
      </c>
      <c r="M3" s="15" t="s">
        <v>184</v>
      </c>
      <c r="N3" s="14">
        <v>19.12</v>
      </c>
      <c r="O3" s="4" t="str">
        <f t="shared" ref="O3:O66" si="0">IF(L3&gt;=15000,"High",IF(L3&gt;=5000,"Medium","Low"))</f>
        <v>High</v>
      </c>
      <c r="P3" s="4">
        <f t="shared" ref="P3:P66" si="1">ROUND(($J3/$L3 )*100,2)</f>
        <v>19.12</v>
      </c>
    </row>
    <row r="4" spans="1:16" x14ac:dyDescent="0.3">
      <c r="A4" s="14" t="s">
        <v>187</v>
      </c>
      <c r="B4" s="14" t="s">
        <v>188</v>
      </c>
      <c r="C4" s="14" t="s">
        <v>180</v>
      </c>
      <c r="D4" s="14" t="s">
        <v>189</v>
      </c>
      <c r="E4" s="14">
        <v>9483465530</v>
      </c>
      <c r="F4" s="14" t="s">
        <v>182</v>
      </c>
      <c r="G4" s="14" t="s">
        <v>190</v>
      </c>
      <c r="H4" s="14">
        <v>1363.73</v>
      </c>
      <c r="I4" s="14">
        <v>1</v>
      </c>
      <c r="J4" s="14">
        <v>362.2</v>
      </c>
      <c r="K4" s="14" t="s">
        <v>186</v>
      </c>
      <c r="L4" s="14">
        <v>1363.73</v>
      </c>
      <c r="M4" s="15" t="s">
        <v>191</v>
      </c>
      <c r="N4" s="14">
        <v>26.56</v>
      </c>
      <c r="O4" s="4" t="str">
        <f t="shared" si="0"/>
        <v>Low</v>
      </c>
      <c r="P4" s="4">
        <f t="shared" si="1"/>
        <v>26.56</v>
      </c>
    </row>
    <row r="5" spans="1:16" x14ac:dyDescent="0.3">
      <c r="A5" s="14" t="s">
        <v>192</v>
      </c>
      <c r="B5" s="14" t="s">
        <v>188</v>
      </c>
      <c r="C5" s="14" t="s">
        <v>180</v>
      </c>
      <c r="D5" s="14" t="s">
        <v>189</v>
      </c>
      <c r="E5" s="14">
        <v>9350165589</v>
      </c>
      <c r="F5" s="14" t="s">
        <v>15</v>
      </c>
      <c r="G5" s="14" t="s">
        <v>193</v>
      </c>
      <c r="H5" s="14">
        <v>1172.93</v>
      </c>
      <c r="I5" s="14">
        <v>5</v>
      </c>
      <c r="J5" s="14">
        <v>1542.65</v>
      </c>
      <c r="K5" s="14" t="s">
        <v>194</v>
      </c>
      <c r="L5" s="14">
        <v>5864.65</v>
      </c>
      <c r="M5" s="15" t="s">
        <v>195</v>
      </c>
      <c r="N5" s="14">
        <v>26.3</v>
      </c>
      <c r="O5" s="4" t="str">
        <f t="shared" si="0"/>
        <v>Medium</v>
      </c>
      <c r="P5" s="4">
        <f t="shared" si="1"/>
        <v>26.3</v>
      </c>
    </row>
    <row r="6" spans="1:16" x14ac:dyDescent="0.3">
      <c r="A6" s="14" t="s">
        <v>196</v>
      </c>
      <c r="B6" s="14" t="s">
        <v>188</v>
      </c>
      <c r="C6" s="14" t="s">
        <v>180</v>
      </c>
      <c r="D6" s="14" t="s">
        <v>181</v>
      </c>
      <c r="E6" s="14">
        <v>9621991901</v>
      </c>
      <c r="F6" s="14" t="s">
        <v>182</v>
      </c>
      <c r="G6" s="14" t="s">
        <v>53</v>
      </c>
      <c r="H6" s="14">
        <v>2457.56</v>
      </c>
      <c r="I6" s="14">
        <v>13</v>
      </c>
      <c r="J6" s="16">
        <v>6972.71</v>
      </c>
      <c r="K6" s="14" t="s">
        <v>41</v>
      </c>
      <c r="L6" s="14">
        <v>31948.28</v>
      </c>
      <c r="M6" s="15" t="s">
        <v>184</v>
      </c>
      <c r="N6" s="14">
        <v>21.82</v>
      </c>
      <c r="O6" s="4" t="str">
        <f t="shared" si="0"/>
        <v>High</v>
      </c>
      <c r="P6" s="4">
        <f t="shared" si="1"/>
        <v>21.82</v>
      </c>
    </row>
    <row r="7" spans="1:16" x14ac:dyDescent="0.3">
      <c r="A7" s="14" t="s">
        <v>197</v>
      </c>
      <c r="B7" s="14" t="s">
        <v>188</v>
      </c>
      <c r="C7" s="14" t="s">
        <v>180</v>
      </c>
      <c r="D7" s="14" t="s">
        <v>189</v>
      </c>
      <c r="E7" s="14">
        <v>9734105442</v>
      </c>
      <c r="F7" s="14" t="s">
        <v>182</v>
      </c>
      <c r="G7" s="14" t="s">
        <v>60</v>
      </c>
      <c r="H7" s="14">
        <v>2661.44</v>
      </c>
      <c r="I7" s="14">
        <v>7</v>
      </c>
      <c r="J7" s="14">
        <v>2581.67</v>
      </c>
      <c r="K7" s="14" t="s">
        <v>186</v>
      </c>
      <c r="L7" s="14">
        <v>18630.080000000002</v>
      </c>
      <c r="M7" s="15" t="s">
        <v>184</v>
      </c>
      <c r="N7" s="14">
        <v>13.86</v>
      </c>
      <c r="O7" s="4" t="str">
        <f t="shared" si="0"/>
        <v>High</v>
      </c>
      <c r="P7" s="4">
        <f t="shared" si="1"/>
        <v>13.86</v>
      </c>
    </row>
    <row r="8" spans="1:16" x14ac:dyDescent="0.3">
      <c r="A8" s="14" t="s">
        <v>198</v>
      </c>
      <c r="B8" s="14" t="s">
        <v>199</v>
      </c>
      <c r="C8" s="14" t="s">
        <v>180</v>
      </c>
      <c r="D8" s="14" t="s">
        <v>200</v>
      </c>
      <c r="E8" s="14">
        <v>9117390999</v>
      </c>
      <c r="F8" s="14" t="s">
        <v>182</v>
      </c>
      <c r="G8" s="14" t="s">
        <v>190</v>
      </c>
      <c r="H8" s="14">
        <v>1400.82</v>
      </c>
      <c r="I8" s="14">
        <v>6</v>
      </c>
      <c r="J8" s="14">
        <v>994.44</v>
      </c>
      <c r="K8" s="14" t="s">
        <v>56</v>
      </c>
      <c r="L8" s="14">
        <v>8404.92</v>
      </c>
      <c r="M8" s="15" t="s">
        <v>195</v>
      </c>
      <c r="N8" s="14">
        <v>11.83</v>
      </c>
      <c r="O8" s="4" t="str">
        <f t="shared" si="0"/>
        <v>Medium</v>
      </c>
      <c r="P8" s="4">
        <f t="shared" si="1"/>
        <v>11.83</v>
      </c>
    </row>
    <row r="9" spans="1:16" x14ac:dyDescent="0.3">
      <c r="A9" s="14" t="s">
        <v>201</v>
      </c>
      <c r="B9" s="14" t="s">
        <v>179</v>
      </c>
      <c r="C9" s="14" t="s">
        <v>180</v>
      </c>
      <c r="D9" s="14" t="s">
        <v>181</v>
      </c>
      <c r="E9" s="14">
        <v>9513032833</v>
      </c>
      <c r="F9" s="14" t="s">
        <v>15</v>
      </c>
      <c r="G9" s="14" t="s">
        <v>14</v>
      </c>
      <c r="H9" s="14">
        <v>416.18</v>
      </c>
      <c r="I9" s="14">
        <v>3</v>
      </c>
      <c r="J9" s="14">
        <v>327.88</v>
      </c>
      <c r="K9" s="14" t="s">
        <v>186</v>
      </c>
      <c r="L9" s="14">
        <v>1248.54</v>
      </c>
      <c r="M9" s="15" t="s">
        <v>191</v>
      </c>
      <c r="N9" s="14">
        <v>26.26</v>
      </c>
      <c r="O9" s="4" t="str">
        <f t="shared" si="0"/>
        <v>Low</v>
      </c>
      <c r="P9" s="4">
        <f t="shared" si="1"/>
        <v>26.26</v>
      </c>
    </row>
    <row r="10" spans="1:16" x14ac:dyDescent="0.3">
      <c r="A10" s="14" t="s">
        <v>202</v>
      </c>
      <c r="B10" s="14" t="s">
        <v>188</v>
      </c>
      <c r="C10" s="14" t="s">
        <v>180</v>
      </c>
      <c r="D10" s="14" t="s">
        <v>203</v>
      </c>
      <c r="E10" s="17">
        <v>95543976868</v>
      </c>
      <c r="F10" s="14" t="s">
        <v>15</v>
      </c>
      <c r="G10" s="14" t="s">
        <v>14</v>
      </c>
      <c r="H10" s="14">
        <v>1290.47</v>
      </c>
      <c r="I10" s="14">
        <v>6</v>
      </c>
      <c r="J10" s="14">
        <v>1045.43</v>
      </c>
      <c r="K10" s="14" t="s">
        <v>186</v>
      </c>
      <c r="L10" s="14">
        <v>7742.82</v>
      </c>
      <c r="M10" s="15" t="s">
        <v>195</v>
      </c>
      <c r="N10" s="14">
        <v>13.5</v>
      </c>
      <c r="O10" s="4" t="str">
        <f t="shared" si="0"/>
        <v>Medium</v>
      </c>
      <c r="P10" s="4">
        <f t="shared" si="1"/>
        <v>13.5</v>
      </c>
    </row>
    <row r="11" spans="1:16" x14ac:dyDescent="0.3">
      <c r="A11" s="14" t="s">
        <v>204</v>
      </c>
      <c r="B11" s="14" t="s">
        <v>179</v>
      </c>
      <c r="C11" s="14" t="s">
        <v>180</v>
      </c>
      <c r="D11" s="14" t="s">
        <v>205</v>
      </c>
      <c r="E11" s="14">
        <v>9866250123</v>
      </c>
      <c r="F11" s="14" t="s">
        <v>182</v>
      </c>
      <c r="G11" s="14" t="s">
        <v>190</v>
      </c>
      <c r="H11" s="14">
        <v>2519.94</v>
      </c>
      <c r="I11" s="14">
        <v>15</v>
      </c>
      <c r="J11" s="16">
        <v>11123.31</v>
      </c>
      <c r="K11" s="14" t="s">
        <v>194</v>
      </c>
      <c r="L11" s="14">
        <v>37799.1</v>
      </c>
      <c r="M11" s="15" t="s">
        <v>184</v>
      </c>
      <c r="N11" s="14">
        <v>29.43</v>
      </c>
      <c r="O11" s="4" t="str">
        <f t="shared" si="0"/>
        <v>High</v>
      </c>
      <c r="P11" s="4">
        <f t="shared" si="1"/>
        <v>29.43</v>
      </c>
    </row>
    <row r="12" spans="1:16" x14ac:dyDescent="0.3">
      <c r="A12" s="14" t="s">
        <v>206</v>
      </c>
      <c r="B12" s="14" t="s">
        <v>188</v>
      </c>
      <c r="C12" s="14" t="s">
        <v>180</v>
      </c>
      <c r="D12" s="14" t="s">
        <v>207</v>
      </c>
      <c r="E12" s="14">
        <v>9884314044</v>
      </c>
      <c r="F12" s="14" t="s">
        <v>182</v>
      </c>
      <c r="G12" s="14" t="s">
        <v>190</v>
      </c>
      <c r="H12" s="14">
        <v>2814.97</v>
      </c>
      <c r="I12" s="14">
        <v>1</v>
      </c>
      <c r="J12" s="14">
        <v>716.15</v>
      </c>
      <c r="K12" s="14" t="s">
        <v>186</v>
      </c>
      <c r="L12" s="14">
        <v>2814.97</v>
      </c>
      <c r="M12" s="15" t="s">
        <v>191</v>
      </c>
      <c r="N12" s="14">
        <v>25.44</v>
      </c>
      <c r="O12" s="4" t="str">
        <f t="shared" si="0"/>
        <v>Low</v>
      </c>
      <c r="P12" s="4">
        <f t="shared" si="1"/>
        <v>25.44</v>
      </c>
    </row>
    <row r="13" spans="1:16" x14ac:dyDescent="0.3">
      <c r="A13" s="14" t="s">
        <v>208</v>
      </c>
      <c r="B13" s="14" t="s">
        <v>199</v>
      </c>
      <c r="C13" s="14" t="s">
        <v>180</v>
      </c>
      <c r="D13" s="14" t="s">
        <v>189</v>
      </c>
      <c r="E13" s="14">
        <v>9192128284</v>
      </c>
      <c r="F13" s="14" t="s">
        <v>182</v>
      </c>
      <c r="G13" s="14" t="s">
        <v>53</v>
      </c>
      <c r="H13" s="14">
        <v>841.72</v>
      </c>
      <c r="I13" s="14">
        <v>13</v>
      </c>
      <c r="J13" s="14">
        <v>2130.1799999999998</v>
      </c>
      <c r="K13" s="14" t="s">
        <v>56</v>
      </c>
      <c r="L13" s="14">
        <v>10942.36</v>
      </c>
      <c r="M13" s="15" t="s">
        <v>184</v>
      </c>
      <c r="N13" s="14">
        <v>19.47</v>
      </c>
      <c r="O13" s="4" t="str">
        <f t="shared" si="0"/>
        <v>Medium</v>
      </c>
      <c r="P13" s="4">
        <f t="shared" si="1"/>
        <v>19.47</v>
      </c>
    </row>
    <row r="14" spans="1:16" x14ac:dyDescent="0.3">
      <c r="A14" s="14" t="s">
        <v>209</v>
      </c>
      <c r="B14" s="14" t="s">
        <v>210</v>
      </c>
      <c r="C14" s="14" t="s">
        <v>180</v>
      </c>
      <c r="D14" s="14" t="s">
        <v>189</v>
      </c>
      <c r="E14" s="14">
        <v>9731590483</v>
      </c>
      <c r="F14" s="14" t="s">
        <v>6</v>
      </c>
      <c r="G14" s="14" t="s">
        <v>95</v>
      </c>
      <c r="H14" s="14">
        <v>1169.28</v>
      </c>
      <c r="I14" s="14">
        <v>2</v>
      </c>
      <c r="J14" s="14">
        <v>273.95</v>
      </c>
      <c r="K14" s="14" t="s">
        <v>41</v>
      </c>
      <c r="L14" s="14">
        <v>2338.56</v>
      </c>
      <c r="M14" s="15" t="s">
        <v>191</v>
      </c>
      <c r="N14" s="14">
        <v>11.71</v>
      </c>
      <c r="O14" s="4" t="str">
        <f t="shared" si="0"/>
        <v>Low</v>
      </c>
      <c r="P14" s="4">
        <f t="shared" si="1"/>
        <v>11.71</v>
      </c>
    </row>
    <row r="15" spans="1:16" x14ac:dyDescent="0.3">
      <c r="A15" s="14" t="s">
        <v>211</v>
      </c>
      <c r="B15" s="14" t="s">
        <v>179</v>
      </c>
      <c r="C15" s="14" t="s">
        <v>180</v>
      </c>
      <c r="D15" s="14" t="s">
        <v>181</v>
      </c>
      <c r="E15" s="14">
        <v>9245312903</v>
      </c>
      <c r="F15" s="14" t="s">
        <v>15</v>
      </c>
      <c r="G15" s="14" t="s">
        <v>99</v>
      </c>
      <c r="H15" s="14">
        <v>2320.0300000000002</v>
      </c>
      <c r="I15" s="14">
        <v>3</v>
      </c>
      <c r="J15" s="14">
        <v>1260.55</v>
      </c>
      <c r="K15" s="14" t="s">
        <v>41</v>
      </c>
      <c r="L15" s="14">
        <v>6960.09</v>
      </c>
      <c r="M15" s="15" t="s">
        <v>195</v>
      </c>
      <c r="N15" s="14">
        <v>18.11</v>
      </c>
      <c r="O15" s="4" t="str">
        <f t="shared" si="0"/>
        <v>Medium</v>
      </c>
      <c r="P15" s="4">
        <f t="shared" si="1"/>
        <v>18.11</v>
      </c>
    </row>
    <row r="16" spans="1:16" x14ac:dyDescent="0.3">
      <c r="A16" s="14" t="s">
        <v>212</v>
      </c>
      <c r="B16" s="14" t="s">
        <v>210</v>
      </c>
      <c r="C16" s="14" t="s">
        <v>180</v>
      </c>
      <c r="D16" s="14" t="s">
        <v>189</v>
      </c>
      <c r="E16" s="14">
        <v>9587137236</v>
      </c>
      <c r="F16" s="14" t="s">
        <v>182</v>
      </c>
      <c r="G16" s="14" t="s">
        <v>190</v>
      </c>
      <c r="H16" s="14">
        <v>1780.66</v>
      </c>
      <c r="I16" s="14">
        <v>11</v>
      </c>
      <c r="J16" s="14">
        <v>2826.93</v>
      </c>
      <c r="K16" s="14" t="s">
        <v>56</v>
      </c>
      <c r="L16" s="14">
        <v>19587.259999999998</v>
      </c>
      <c r="M16" s="15" t="s">
        <v>184</v>
      </c>
      <c r="N16" s="14">
        <v>14.43</v>
      </c>
      <c r="O16" s="4" t="str">
        <f t="shared" si="0"/>
        <v>High</v>
      </c>
      <c r="P16" s="4">
        <f t="shared" si="1"/>
        <v>14.43</v>
      </c>
    </row>
    <row r="17" spans="1:16" x14ac:dyDescent="0.3">
      <c r="A17" s="14" t="s">
        <v>213</v>
      </c>
      <c r="B17" s="14" t="s">
        <v>210</v>
      </c>
      <c r="C17" s="14" t="s">
        <v>180</v>
      </c>
      <c r="D17" s="14" t="s">
        <v>200</v>
      </c>
      <c r="E17" s="14">
        <v>9161819590</v>
      </c>
      <c r="F17" s="14" t="s">
        <v>6</v>
      </c>
      <c r="G17" s="14" t="s">
        <v>214</v>
      </c>
      <c r="H17" s="14">
        <v>2672</v>
      </c>
      <c r="I17" s="14">
        <v>15</v>
      </c>
      <c r="J17" s="14">
        <v>4719.91</v>
      </c>
      <c r="K17" s="14" t="s">
        <v>194</v>
      </c>
      <c r="L17" s="14">
        <v>40080</v>
      </c>
      <c r="M17" s="15" t="s">
        <v>184</v>
      </c>
      <c r="N17" s="14">
        <v>11.78</v>
      </c>
      <c r="O17" s="4" t="str">
        <f t="shared" si="0"/>
        <v>High</v>
      </c>
      <c r="P17" s="4">
        <f t="shared" si="1"/>
        <v>11.78</v>
      </c>
    </row>
    <row r="18" spans="1:16" x14ac:dyDescent="0.3">
      <c r="A18" s="14" t="s">
        <v>215</v>
      </c>
      <c r="B18" s="14" t="s">
        <v>188</v>
      </c>
      <c r="C18" s="14" t="s">
        <v>180</v>
      </c>
      <c r="D18" s="14" t="s">
        <v>189</v>
      </c>
      <c r="E18" s="14">
        <v>9551484924</v>
      </c>
      <c r="F18" s="14" t="s">
        <v>182</v>
      </c>
      <c r="G18" s="14" t="s">
        <v>216</v>
      </c>
      <c r="H18" s="14">
        <v>824.49</v>
      </c>
      <c r="I18" s="14">
        <v>9</v>
      </c>
      <c r="J18" s="14">
        <v>1403.14</v>
      </c>
      <c r="K18" s="14" t="s">
        <v>217</v>
      </c>
      <c r="L18" s="14">
        <v>7420.41</v>
      </c>
      <c r="M18" s="15" t="s">
        <v>195</v>
      </c>
      <c r="N18" s="14">
        <v>18.91</v>
      </c>
      <c r="O18" s="4" t="str">
        <f t="shared" si="0"/>
        <v>Medium</v>
      </c>
      <c r="P18" s="4">
        <f t="shared" si="1"/>
        <v>18.91</v>
      </c>
    </row>
    <row r="19" spans="1:16" x14ac:dyDescent="0.3">
      <c r="A19" s="14" t="s">
        <v>218</v>
      </c>
      <c r="B19" s="14" t="s">
        <v>199</v>
      </c>
      <c r="C19" s="14" t="s">
        <v>180</v>
      </c>
      <c r="D19" s="14" t="s">
        <v>219</v>
      </c>
      <c r="E19" s="17">
        <v>91682255459</v>
      </c>
      <c r="F19" s="14" t="s">
        <v>6</v>
      </c>
      <c r="G19" s="14" t="s">
        <v>26</v>
      </c>
      <c r="H19" s="14">
        <v>2896.96</v>
      </c>
      <c r="I19" s="14">
        <v>7</v>
      </c>
      <c r="J19" s="14">
        <v>3528.3</v>
      </c>
      <c r="K19" s="14" t="s">
        <v>186</v>
      </c>
      <c r="L19" s="14">
        <v>20278.72</v>
      </c>
      <c r="M19" s="15" t="s">
        <v>184</v>
      </c>
      <c r="N19" s="14">
        <v>17.399999999999999</v>
      </c>
      <c r="O19" s="4" t="str">
        <f t="shared" si="0"/>
        <v>High</v>
      </c>
      <c r="P19" s="4">
        <f t="shared" si="1"/>
        <v>17.399999999999999</v>
      </c>
    </row>
    <row r="20" spans="1:16" x14ac:dyDescent="0.3">
      <c r="A20" s="14" t="s">
        <v>220</v>
      </c>
      <c r="B20" s="14" t="s">
        <v>188</v>
      </c>
      <c r="C20" s="14" t="s">
        <v>180</v>
      </c>
      <c r="D20" s="14" t="s">
        <v>203</v>
      </c>
      <c r="E20" s="14">
        <v>9277023818</v>
      </c>
      <c r="F20" s="14" t="s">
        <v>6</v>
      </c>
      <c r="G20" s="14" t="s">
        <v>214</v>
      </c>
      <c r="H20" s="14">
        <v>1235.32</v>
      </c>
      <c r="I20" s="14">
        <v>9</v>
      </c>
      <c r="J20" s="14">
        <v>2542.0700000000002</v>
      </c>
      <c r="K20" s="14" t="s">
        <v>217</v>
      </c>
      <c r="L20" s="14">
        <v>11117.88</v>
      </c>
      <c r="M20" s="15" t="s">
        <v>184</v>
      </c>
      <c r="N20" s="14">
        <v>22.86</v>
      </c>
      <c r="O20" s="4" t="str">
        <f t="shared" si="0"/>
        <v>Medium</v>
      </c>
      <c r="P20" s="4">
        <f t="shared" si="1"/>
        <v>22.86</v>
      </c>
    </row>
    <row r="21" spans="1:16" x14ac:dyDescent="0.3">
      <c r="A21" s="14" t="s">
        <v>221</v>
      </c>
      <c r="B21" s="14" t="s">
        <v>199</v>
      </c>
      <c r="C21" s="14" t="s">
        <v>180</v>
      </c>
      <c r="D21" s="14" t="s">
        <v>205</v>
      </c>
      <c r="E21" s="14">
        <v>9670448490</v>
      </c>
      <c r="F21" s="14" t="s">
        <v>15</v>
      </c>
      <c r="G21" s="14" t="s">
        <v>17</v>
      </c>
      <c r="H21" s="14">
        <v>2168.33</v>
      </c>
      <c r="I21" s="14">
        <v>3</v>
      </c>
      <c r="J21" s="14">
        <v>1394.93</v>
      </c>
      <c r="K21" s="14" t="s">
        <v>194</v>
      </c>
      <c r="L21" s="14">
        <v>6504.99</v>
      </c>
      <c r="M21" s="15" t="s">
        <v>195</v>
      </c>
      <c r="N21" s="14">
        <v>21.44</v>
      </c>
      <c r="O21" s="4" t="str">
        <f t="shared" si="0"/>
        <v>Medium</v>
      </c>
      <c r="P21" s="4">
        <f t="shared" si="1"/>
        <v>21.44</v>
      </c>
    </row>
    <row r="22" spans="1:16" x14ac:dyDescent="0.3">
      <c r="A22" s="14" t="s">
        <v>222</v>
      </c>
      <c r="B22" s="14" t="s">
        <v>199</v>
      </c>
      <c r="C22" s="14" t="s">
        <v>180</v>
      </c>
      <c r="D22" s="14" t="s">
        <v>189</v>
      </c>
      <c r="E22" s="14">
        <v>9123788207</v>
      </c>
      <c r="F22" s="14" t="s">
        <v>182</v>
      </c>
      <c r="G22" s="14" t="s">
        <v>216</v>
      </c>
      <c r="H22" s="14">
        <v>2654.54</v>
      </c>
      <c r="I22" s="14">
        <v>5</v>
      </c>
      <c r="J22" s="14">
        <v>3308.52</v>
      </c>
      <c r="K22" s="14" t="s">
        <v>217</v>
      </c>
      <c r="L22" s="14">
        <v>13272.7</v>
      </c>
      <c r="M22" s="15" t="s">
        <v>184</v>
      </c>
      <c r="N22" s="14">
        <v>24.93</v>
      </c>
      <c r="O22" s="4" t="str">
        <f t="shared" si="0"/>
        <v>Medium</v>
      </c>
      <c r="P22" s="4">
        <f t="shared" si="1"/>
        <v>24.93</v>
      </c>
    </row>
    <row r="23" spans="1:16" x14ac:dyDescent="0.3">
      <c r="A23" s="14" t="s">
        <v>223</v>
      </c>
      <c r="B23" s="14" t="s">
        <v>179</v>
      </c>
      <c r="C23" s="14" t="s">
        <v>180</v>
      </c>
      <c r="D23" s="14" t="s">
        <v>200</v>
      </c>
      <c r="E23" s="17">
        <v>99831923457</v>
      </c>
      <c r="F23" s="14" t="s">
        <v>6</v>
      </c>
      <c r="G23" s="14" t="s">
        <v>5</v>
      </c>
      <c r="H23" s="14">
        <v>1313.77</v>
      </c>
      <c r="I23" s="14">
        <v>7</v>
      </c>
      <c r="J23" s="14">
        <v>2435.5500000000002</v>
      </c>
      <c r="K23" s="14" t="s">
        <v>194</v>
      </c>
      <c r="L23" s="14">
        <v>9196.39</v>
      </c>
      <c r="M23" s="15" t="s">
        <v>195</v>
      </c>
      <c r="N23" s="14">
        <v>26.48</v>
      </c>
      <c r="O23" s="4" t="str">
        <f t="shared" si="0"/>
        <v>Medium</v>
      </c>
      <c r="P23" s="4">
        <f t="shared" si="1"/>
        <v>26.48</v>
      </c>
    </row>
    <row r="24" spans="1:16" x14ac:dyDescent="0.3">
      <c r="A24" s="14" t="s">
        <v>224</v>
      </c>
      <c r="B24" s="14" t="s">
        <v>199</v>
      </c>
      <c r="C24" s="14" t="s">
        <v>180</v>
      </c>
      <c r="D24" s="14" t="s">
        <v>205</v>
      </c>
      <c r="E24" s="14">
        <v>9822358874</v>
      </c>
      <c r="F24" s="14" t="s">
        <v>6</v>
      </c>
      <c r="G24" s="14" t="s">
        <v>26</v>
      </c>
      <c r="H24" s="14">
        <v>1602.24</v>
      </c>
      <c r="I24" s="14">
        <v>13</v>
      </c>
      <c r="J24" s="14">
        <v>3082.85</v>
      </c>
      <c r="K24" s="14" t="s">
        <v>217</v>
      </c>
      <c r="L24" s="14">
        <v>20829.12</v>
      </c>
      <c r="M24" s="15" t="s">
        <v>184</v>
      </c>
      <c r="N24" s="14">
        <v>14.8</v>
      </c>
      <c r="O24" s="4" t="str">
        <f t="shared" si="0"/>
        <v>High</v>
      </c>
      <c r="P24" s="4">
        <f t="shared" si="1"/>
        <v>14.8</v>
      </c>
    </row>
    <row r="25" spans="1:16" x14ac:dyDescent="0.3">
      <c r="A25" s="14" t="s">
        <v>225</v>
      </c>
      <c r="B25" s="14" t="s">
        <v>179</v>
      </c>
      <c r="C25" s="14" t="s">
        <v>180</v>
      </c>
      <c r="D25" s="14" t="s">
        <v>219</v>
      </c>
      <c r="E25" s="14">
        <v>9497595031</v>
      </c>
      <c r="F25" s="14" t="s">
        <v>15</v>
      </c>
      <c r="G25" s="14" t="s">
        <v>193</v>
      </c>
      <c r="H25" s="14">
        <v>592.33000000000004</v>
      </c>
      <c r="I25" s="14">
        <v>4</v>
      </c>
      <c r="J25" s="14">
        <v>539.64</v>
      </c>
      <c r="K25" s="14" t="s">
        <v>186</v>
      </c>
      <c r="L25" s="14">
        <v>2369.3200000000002</v>
      </c>
      <c r="M25" s="15" t="s">
        <v>191</v>
      </c>
      <c r="N25" s="14">
        <v>22.78</v>
      </c>
      <c r="O25" s="4" t="str">
        <f t="shared" si="0"/>
        <v>Low</v>
      </c>
      <c r="P25" s="4">
        <f t="shared" si="1"/>
        <v>22.78</v>
      </c>
    </row>
    <row r="26" spans="1:16" x14ac:dyDescent="0.3">
      <c r="A26" s="14" t="s">
        <v>226</v>
      </c>
      <c r="B26" s="14" t="s">
        <v>188</v>
      </c>
      <c r="C26" s="14" t="s">
        <v>180</v>
      </c>
      <c r="D26" s="14" t="s">
        <v>207</v>
      </c>
      <c r="E26" s="14">
        <v>9781615192</v>
      </c>
      <c r="F26" s="14" t="s">
        <v>6</v>
      </c>
      <c r="G26" s="14" t="s">
        <v>214</v>
      </c>
      <c r="H26" s="14">
        <v>589.14</v>
      </c>
      <c r="I26" s="14">
        <v>8</v>
      </c>
      <c r="J26" s="14">
        <v>1252.56</v>
      </c>
      <c r="K26" s="14" t="s">
        <v>194</v>
      </c>
      <c r="L26" s="14">
        <v>4713.12</v>
      </c>
      <c r="M26" s="15" t="s">
        <v>191</v>
      </c>
      <c r="N26" s="14">
        <v>26.58</v>
      </c>
      <c r="O26" s="4" t="str">
        <f t="shared" si="0"/>
        <v>Low</v>
      </c>
      <c r="P26" s="4">
        <f t="shared" si="1"/>
        <v>26.58</v>
      </c>
    </row>
    <row r="27" spans="1:16" x14ac:dyDescent="0.3">
      <c r="A27" s="14" t="s">
        <v>227</v>
      </c>
      <c r="B27" s="14" t="s">
        <v>210</v>
      </c>
      <c r="C27" s="14" t="s">
        <v>180</v>
      </c>
      <c r="D27" s="14" t="s">
        <v>219</v>
      </c>
      <c r="E27" s="14">
        <v>9310431691</v>
      </c>
      <c r="F27" s="14" t="s">
        <v>15</v>
      </c>
      <c r="G27" s="14" t="s">
        <v>14</v>
      </c>
      <c r="H27" s="14">
        <v>2354.6</v>
      </c>
      <c r="I27" s="14">
        <v>4</v>
      </c>
      <c r="J27" s="14">
        <v>2575.4299999999998</v>
      </c>
      <c r="K27" s="14" t="s">
        <v>41</v>
      </c>
      <c r="L27" s="14">
        <v>9418.4</v>
      </c>
      <c r="M27" s="15" t="s">
        <v>195</v>
      </c>
      <c r="N27" s="14">
        <v>27.34</v>
      </c>
      <c r="O27" s="4" t="str">
        <f t="shared" si="0"/>
        <v>Medium</v>
      </c>
      <c r="P27" s="4">
        <f t="shared" si="1"/>
        <v>27.34</v>
      </c>
    </row>
    <row r="28" spans="1:16" x14ac:dyDescent="0.3">
      <c r="A28" s="14" t="s">
        <v>228</v>
      </c>
      <c r="B28" s="14" t="s">
        <v>199</v>
      </c>
      <c r="C28" s="14" t="s">
        <v>180</v>
      </c>
      <c r="D28" s="14" t="s">
        <v>219</v>
      </c>
      <c r="E28" s="14">
        <v>9375633062</v>
      </c>
      <c r="F28" s="14" t="s">
        <v>6</v>
      </c>
      <c r="G28" s="14" t="s">
        <v>62</v>
      </c>
      <c r="H28" s="14">
        <v>1920.55</v>
      </c>
      <c r="I28" s="14">
        <v>6</v>
      </c>
      <c r="J28" s="14">
        <v>2254.59</v>
      </c>
      <c r="K28" s="14" t="s">
        <v>41</v>
      </c>
      <c r="L28" s="14">
        <v>11523.3</v>
      </c>
      <c r="M28" s="15" t="s">
        <v>184</v>
      </c>
      <c r="N28" s="14">
        <v>19.57</v>
      </c>
      <c r="O28" s="4" t="str">
        <f t="shared" si="0"/>
        <v>Medium</v>
      </c>
      <c r="P28" s="4">
        <f t="shared" si="1"/>
        <v>19.57</v>
      </c>
    </row>
    <row r="29" spans="1:16" x14ac:dyDescent="0.3">
      <c r="A29" s="14" t="s">
        <v>229</v>
      </c>
      <c r="B29" s="14" t="s">
        <v>199</v>
      </c>
      <c r="C29" s="14" t="s">
        <v>180</v>
      </c>
      <c r="D29" s="14" t="s">
        <v>189</v>
      </c>
      <c r="E29" s="14">
        <v>9958467371</v>
      </c>
      <c r="F29" s="14" t="s">
        <v>182</v>
      </c>
      <c r="G29" s="14" t="s">
        <v>60</v>
      </c>
      <c r="H29" s="14">
        <v>1086.4100000000001</v>
      </c>
      <c r="I29" s="14">
        <v>7</v>
      </c>
      <c r="J29" s="14">
        <v>2066.7600000000002</v>
      </c>
      <c r="K29" s="14" t="s">
        <v>41</v>
      </c>
      <c r="L29" s="14">
        <v>7604.87</v>
      </c>
      <c r="M29" s="15" t="s">
        <v>195</v>
      </c>
      <c r="N29" s="14">
        <v>27.18</v>
      </c>
      <c r="O29" s="4" t="str">
        <f t="shared" si="0"/>
        <v>Medium</v>
      </c>
      <c r="P29" s="4">
        <f t="shared" si="1"/>
        <v>27.18</v>
      </c>
    </row>
    <row r="30" spans="1:16" x14ac:dyDescent="0.3">
      <c r="A30" s="14" t="s">
        <v>230</v>
      </c>
      <c r="B30" s="14" t="s">
        <v>199</v>
      </c>
      <c r="C30" s="14" t="s">
        <v>180</v>
      </c>
      <c r="D30" s="14" t="s">
        <v>189</v>
      </c>
      <c r="E30" s="14">
        <v>9485913642</v>
      </c>
      <c r="F30" s="14" t="s">
        <v>15</v>
      </c>
      <c r="G30" s="14" t="s">
        <v>99</v>
      </c>
      <c r="H30" s="14">
        <v>1181.07</v>
      </c>
      <c r="I30" s="14">
        <v>13</v>
      </c>
      <c r="J30" s="14">
        <v>3821.07</v>
      </c>
      <c r="K30" s="14" t="s">
        <v>194</v>
      </c>
      <c r="L30" s="14">
        <v>15353.91</v>
      </c>
      <c r="M30" s="15" t="s">
        <v>184</v>
      </c>
      <c r="N30" s="14">
        <v>24.89</v>
      </c>
      <c r="O30" s="4" t="str">
        <f t="shared" si="0"/>
        <v>High</v>
      </c>
      <c r="P30" s="4">
        <f t="shared" si="1"/>
        <v>24.89</v>
      </c>
    </row>
    <row r="31" spans="1:16" x14ac:dyDescent="0.3">
      <c r="A31" s="14" t="s">
        <v>231</v>
      </c>
      <c r="B31" s="14" t="s">
        <v>199</v>
      </c>
      <c r="C31" s="14" t="s">
        <v>180</v>
      </c>
      <c r="D31" s="14" t="s">
        <v>219</v>
      </c>
      <c r="E31" s="14">
        <v>9942727052</v>
      </c>
      <c r="F31" s="14" t="s">
        <v>15</v>
      </c>
      <c r="G31" s="14" t="s">
        <v>232</v>
      </c>
      <c r="H31" s="14">
        <v>2521.1999999999998</v>
      </c>
      <c r="I31" s="14">
        <v>8</v>
      </c>
      <c r="J31" s="16">
        <v>6046.68</v>
      </c>
      <c r="K31" s="14" t="s">
        <v>41</v>
      </c>
      <c r="L31" s="14">
        <v>20169.599999999999</v>
      </c>
      <c r="M31" s="15" t="s">
        <v>184</v>
      </c>
      <c r="N31" s="14">
        <v>29.98</v>
      </c>
      <c r="O31" s="4" t="str">
        <f t="shared" si="0"/>
        <v>High</v>
      </c>
      <c r="P31" s="4">
        <f t="shared" si="1"/>
        <v>29.98</v>
      </c>
    </row>
    <row r="32" spans="1:16" x14ac:dyDescent="0.3">
      <c r="A32" s="14" t="s">
        <v>233</v>
      </c>
      <c r="B32" s="14" t="s">
        <v>188</v>
      </c>
      <c r="C32" s="14" t="s">
        <v>180</v>
      </c>
      <c r="D32" s="14" t="s">
        <v>205</v>
      </c>
      <c r="E32" s="14">
        <v>9164209990</v>
      </c>
      <c r="F32" s="14" t="s">
        <v>182</v>
      </c>
      <c r="G32" s="14" t="s">
        <v>53</v>
      </c>
      <c r="H32" s="14">
        <v>1741.71</v>
      </c>
      <c r="I32" s="14">
        <v>15</v>
      </c>
      <c r="J32" s="14">
        <v>4026.14</v>
      </c>
      <c r="K32" s="14" t="s">
        <v>56</v>
      </c>
      <c r="L32" s="14">
        <v>26125.65</v>
      </c>
      <c r="M32" s="15" t="s">
        <v>184</v>
      </c>
      <c r="N32" s="14">
        <v>15.41</v>
      </c>
      <c r="O32" s="4" t="str">
        <f t="shared" si="0"/>
        <v>High</v>
      </c>
      <c r="P32" s="4">
        <f t="shared" si="1"/>
        <v>15.41</v>
      </c>
    </row>
    <row r="33" spans="1:16" x14ac:dyDescent="0.3">
      <c r="A33" s="14" t="s">
        <v>234</v>
      </c>
      <c r="B33" s="14" t="s">
        <v>188</v>
      </c>
      <c r="C33" s="14" t="s">
        <v>180</v>
      </c>
      <c r="D33" s="14" t="s">
        <v>219</v>
      </c>
      <c r="E33" s="14">
        <v>9972130283</v>
      </c>
      <c r="F33" s="14" t="s">
        <v>15</v>
      </c>
      <c r="G33" s="14" t="s">
        <v>193</v>
      </c>
      <c r="H33" s="14">
        <v>1691.18</v>
      </c>
      <c r="I33" s="14">
        <v>9</v>
      </c>
      <c r="J33" s="14">
        <v>3286.83</v>
      </c>
      <c r="K33" s="14" t="s">
        <v>186</v>
      </c>
      <c r="L33" s="14">
        <v>15220.62</v>
      </c>
      <c r="M33" s="15" t="s">
        <v>184</v>
      </c>
      <c r="N33" s="14">
        <v>21.59</v>
      </c>
      <c r="O33" s="4" t="str">
        <f t="shared" si="0"/>
        <v>High</v>
      </c>
      <c r="P33" s="4">
        <f t="shared" si="1"/>
        <v>21.59</v>
      </c>
    </row>
    <row r="34" spans="1:16" x14ac:dyDescent="0.3">
      <c r="A34" s="14" t="s">
        <v>235</v>
      </c>
      <c r="B34" s="14" t="s">
        <v>188</v>
      </c>
      <c r="C34" s="14" t="s">
        <v>180</v>
      </c>
      <c r="D34" s="14" t="s">
        <v>219</v>
      </c>
      <c r="E34" s="14">
        <v>9305312346</v>
      </c>
      <c r="F34" s="14" t="s">
        <v>182</v>
      </c>
      <c r="G34" s="14" t="s">
        <v>216</v>
      </c>
      <c r="H34" s="14">
        <v>2430.4899999999998</v>
      </c>
      <c r="I34" s="14">
        <v>1</v>
      </c>
      <c r="J34" s="14">
        <v>538.34</v>
      </c>
      <c r="K34" s="14" t="s">
        <v>217</v>
      </c>
      <c r="L34" s="14">
        <v>2430.4899999999998</v>
      </c>
      <c r="M34" s="15" t="s">
        <v>191</v>
      </c>
      <c r="N34" s="14">
        <v>22.15</v>
      </c>
      <c r="O34" s="4" t="str">
        <f t="shared" si="0"/>
        <v>Low</v>
      </c>
      <c r="P34" s="4">
        <f t="shared" si="1"/>
        <v>22.15</v>
      </c>
    </row>
    <row r="35" spans="1:16" x14ac:dyDescent="0.3">
      <c r="A35" s="14" t="s">
        <v>236</v>
      </c>
      <c r="B35" s="14" t="s">
        <v>179</v>
      </c>
      <c r="C35" s="14" t="s">
        <v>180</v>
      </c>
      <c r="D35" s="14" t="s">
        <v>219</v>
      </c>
      <c r="E35" s="14">
        <v>9403336927</v>
      </c>
      <c r="F35" s="14" t="s">
        <v>182</v>
      </c>
      <c r="G35" s="14" t="s">
        <v>60</v>
      </c>
      <c r="H35" s="14">
        <v>1937.5</v>
      </c>
      <c r="I35" s="14">
        <v>10</v>
      </c>
      <c r="J35" s="14">
        <v>2548.08</v>
      </c>
      <c r="K35" s="14" t="s">
        <v>56</v>
      </c>
      <c r="L35" s="14">
        <v>19375</v>
      </c>
      <c r="M35" s="15" t="s">
        <v>184</v>
      </c>
      <c r="N35" s="14">
        <v>13.15</v>
      </c>
      <c r="O35" s="4" t="str">
        <f t="shared" si="0"/>
        <v>High</v>
      </c>
      <c r="P35" s="4">
        <f t="shared" si="1"/>
        <v>13.15</v>
      </c>
    </row>
    <row r="36" spans="1:16" x14ac:dyDescent="0.3">
      <c r="A36" s="14" t="s">
        <v>237</v>
      </c>
      <c r="B36" s="14" t="s">
        <v>210</v>
      </c>
      <c r="C36" s="14" t="s">
        <v>180</v>
      </c>
      <c r="D36" s="14" t="s">
        <v>181</v>
      </c>
      <c r="E36" s="14">
        <v>9209432112</v>
      </c>
      <c r="F36" s="14" t="s">
        <v>182</v>
      </c>
      <c r="G36" s="14" t="s">
        <v>190</v>
      </c>
      <c r="H36" s="14">
        <v>2848.61</v>
      </c>
      <c r="I36" s="14">
        <v>15</v>
      </c>
      <c r="J36" s="16">
        <v>6188.69</v>
      </c>
      <c r="K36" s="14" t="s">
        <v>217</v>
      </c>
      <c r="L36" s="14">
        <v>42729.15</v>
      </c>
      <c r="M36" s="15" t="s">
        <v>184</v>
      </c>
      <c r="N36" s="14">
        <v>14.48</v>
      </c>
      <c r="O36" s="4" t="str">
        <f t="shared" si="0"/>
        <v>High</v>
      </c>
      <c r="P36" s="4">
        <f t="shared" si="1"/>
        <v>14.48</v>
      </c>
    </row>
    <row r="37" spans="1:16" x14ac:dyDescent="0.3">
      <c r="A37" s="14" t="s">
        <v>238</v>
      </c>
      <c r="B37" s="14" t="s">
        <v>210</v>
      </c>
      <c r="C37" s="14" t="s">
        <v>180</v>
      </c>
      <c r="D37" s="14" t="s">
        <v>203</v>
      </c>
      <c r="E37" s="17">
        <v>92886736565</v>
      </c>
      <c r="F37" s="14" t="s">
        <v>15</v>
      </c>
      <c r="G37" s="14" t="s">
        <v>232</v>
      </c>
      <c r="H37" s="14">
        <v>537.01</v>
      </c>
      <c r="I37" s="14">
        <v>15</v>
      </c>
      <c r="J37" s="14">
        <v>848.33</v>
      </c>
      <c r="K37" s="14" t="s">
        <v>217</v>
      </c>
      <c r="L37" s="14">
        <v>8055.15</v>
      </c>
      <c r="M37" s="15" t="s">
        <v>195</v>
      </c>
      <c r="N37" s="14">
        <v>10.53</v>
      </c>
      <c r="O37" s="4" t="str">
        <f t="shared" si="0"/>
        <v>Medium</v>
      </c>
      <c r="P37" s="4">
        <f t="shared" si="1"/>
        <v>10.53</v>
      </c>
    </row>
    <row r="38" spans="1:16" x14ac:dyDescent="0.3">
      <c r="A38" s="14" t="s">
        <v>239</v>
      </c>
      <c r="B38" s="14" t="s">
        <v>199</v>
      </c>
      <c r="C38" s="14" t="s">
        <v>180</v>
      </c>
      <c r="D38" s="14" t="s">
        <v>181</v>
      </c>
      <c r="E38" s="14">
        <v>9696039067</v>
      </c>
      <c r="F38" s="14" t="s">
        <v>15</v>
      </c>
      <c r="G38" s="14" t="s">
        <v>193</v>
      </c>
      <c r="H38" s="14">
        <v>2052.79</v>
      </c>
      <c r="I38" s="14">
        <v>1</v>
      </c>
      <c r="J38" s="14">
        <v>296.79000000000002</v>
      </c>
      <c r="K38" s="14" t="s">
        <v>186</v>
      </c>
      <c r="L38" s="14">
        <v>2052.79</v>
      </c>
      <c r="M38" s="15" t="s">
        <v>191</v>
      </c>
      <c r="N38" s="14">
        <v>14.46</v>
      </c>
      <c r="O38" s="4" t="str">
        <f t="shared" si="0"/>
        <v>Low</v>
      </c>
      <c r="P38" s="4">
        <f t="shared" si="1"/>
        <v>14.46</v>
      </c>
    </row>
    <row r="39" spans="1:16" x14ac:dyDescent="0.3">
      <c r="A39" s="14" t="s">
        <v>240</v>
      </c>
      <c r="B39" s="14" t="s">
        <v>199</v>
      </c>
      <c r="C39" s="14" t="s">
        <v>180</v>
      </c>
      <c r="D39" s="14" t="s">
        <v>203</v>
      </c>
      <c r="E39" s="14">
        <v>9729755086</v>
      </c>
      <c r="F39" s="14" t="s">
        <v>182</v>
      </c>
      <c r="G39" s="14" t="s">
        <v>216</v>
      </c>
      <c r="H39" s="14">
        <v>1708.1</v>
      </c>
      <c r="I39" s="14">
        <v>3</v>
      </c>
      <c r="J39" s="14">
        <v>897.22</v>
      </c>
      <c r="K39" s="14" t="s">
        <v>41</v>
      </c>
      <c r="L39" s="14">
        <v>5124.3</v>
      </c>
      <c r="M39" s="15" t="s">
        <v>195</v>
      </c>
      <c r="N39" s="14">
        <v>17.510000000000002</v>
      </c>
      <c r="O39" s="4" t="str">
        <f t="shared" si="0"/>
        <v>Medium</v>
      </c>
      <c r="P39" s="4">
        <f t="shared" si="1"/>
        <v>17.510000000000002</v>
      </c>
    </row>
    <row r="40" spans="1:16" x14ac:dyDescent="0.3">
      <c r="A40" s="14" t="s">
        <v>241</v>
      </c>
      <c r="B40" s="14" t="s">
        <v>199</v>
      </c>
      <c r="C40" s="14" t="s">
        <v>180</v>
      </c>
      <c r="D40" s="14" t="s">
        <v>219</v>
      </c>
      <c r="E40" s="14">
        <v>9291717779</v>
      </c>
      <c r="F40" s="14" t="s">
        <v>6</v>
      </c>
      <c r="G40" s="14" t="s">
        <v>26</v>
      </c>
      <c r="H40" s="14">
        <v>1616.55</v>
      </c>
      <c r="I40" s="14">
        <v>14</v>
      </c>
      <c r="J40" s="16">
        <v>6621.29</v>
      </c>
      <c r="K40" s="14" t="s">
        <v>41</v>
      </c>
      <c r="L40" s="14">
        <v>22631.7</v>
      </c>
      <c r="M40" s="15" t="s">
        <v>184</v>
      </c>
      <c r="N40" s="14">
        <v>29.26</v>
      </c>
      <c r="O40" s="4" t="str">
        <f t="shared" si="0"/>
        <v>High</v>
      </c>
      <c r="P40" s="4">
        <f t="shared" si="1"/>
        <v>29.26</v>
      </c>
    </row>
    <row r="41" spans="1:16" x14ac:dyDescent="0.3">
      <c r="A41" s="14" t="s">
        <v>242</v>
      </c>
      <c r="B41" s="14" t="s">
        <v>199</v>
      </c>
      <c r="C41" s="14" t="s">
        <v>180</v>
      </c>
      <c r="D41" s="14" t="s">
        <v>181</v>
      </c>
      <c r="E41" s="14">
        <v>9596984707</v>
      </c>
      <c r="F41" s="14" t="s">
        <v>182</v>
      </c>
      <c r="G41" s="14" t="s">
        <v>53</v>
      </c>
      <c r="H41" s="14">
        <v>1774.62</v>
      </c>
      <c r="I41" s="14">
        <v>7</v>
      </c>
      <c r="J41" s="14">
        <v>3378.16</v>
      </c>
      <c r="K41" s="14" t="s">
        <v>41</v>
      </c>
      <c r="L41" s="14">
        <v>12422.34</v>
      </c>
      <c r="M41" s="15" t="s">
        <v>184</v>
      </c>
      <c r="N41" s="14">
        <v>27.19</v>
      </c>
      <c r="O41" s="4" t="str">
        <f t="shared" si="0"/>
        <v>Medium</v>
      </c>
      <c r="P41" s="4">
        <f t="shared" si="1"/>
        <v>27.19</v>
      </c>
    </row>
    <row r="42" spans="1:16" x14ac:dyDescent="0.3">
      <c r="A42" s="14" t="s">
        <v>243</v>
      </c>
      <c r="B42" s="14" t="s">
        <v>188</v>
      </c>
      <c r="C42" s="14" t="s">
        <v>180</v>
      </c>
      <c r="D42" s="14" t="s">
        <v>205</v>
      </c>
      <c r="E42" s="14">
        <v>9621477109</v>
      </c>
      <c r="F42" s="14" t="s">
        <v>6</v>
      </c>
      <c r="G42" s="14" t="s">
        <v>62</v>
      </c>
      <c r="H42" s="14">
        <v>644.14</v>
      </c>
      <c r="I42" s="14">
        <v>12</v>
      </c>
      <c r="J42" s="14">
        <v>988.52</v>
      </c>
      <c r="K42" s="14" t="s">
        <v>194</v>
      </c>
      <c r="L42" s="14">
        <v>7729.68</v>
      </c>
      <c r="M42" s="15" t="s">
        <v>195</v>
      </c>
      <c r="N42" s="14">
        <v>12.79</v>
      </c>
      <c r="O42" s="4" t="str">
        <f t="shared" si="0"/>
        <v>Medium</v>
      </c>
      <c r="P42" s="4">
        <f t="shared" si="1"/>
        <v>12.79</v>
      </c>
    </row>
    <row r="43" spans="1:16" x14ac:dyDescent="0.3">
      <c r="A43" s="14" t="s">
        <v>244</v>
      </c>
      <c r="B43" s="14" t="s">
        <v>188</v>
      </c>
      <c r="C43" s="14" t="s">
        <v>180</v>
      </c>
      <c r="D43" s="14" t="s">
        <v>189</v>
      </c>
      <c r="E43" s="14">
        <v>9813614929</v>
      </c>
      <c r="F43" s="14" t="s">
        <v>15</v>
      </c>
      <c r="G43" s="14" t="s">
        <v>193</v>
      </c>
      <c r="H43" s="14">
        <v>1767.47</v>
      </c>
      <c r="I43" s="14">
        <v>13</v>
      </c>
      <c r="J43" s="14">
        <v>3353.4</v>
      </c>
      <c r="K43" s="14" t="s">
        <v>56</v>
      </c>
      <c r="L43" s="14">
        <v>22977.11</v>
      </c>
      <c r="M43" s="15" t="s">
        <v>184</v>
      </c>
      <c r="N43" s="14">
        <v>14.59</v>
      </c>
      <c r="O43" s="4" t="str">
        <f t="shared" si="0"/>
        <v>High</v>
      </c>
      <c r="P43" s="4">
        <f t="shared" si="1"/>
        <v>14.59</v>
      </c>
    </row>
    <row r="44" spans="1:16" x14ac:dyDescent="0.3">
      <c r="A44" s="14" t="s">
        <v>245</v>
      </c>
      <c r="B44" s="14" t="s">
        <v>199</v>
      </c>
      <c r="C44" s="14" t="s">
        <v>180</v>
      </c>
      <c r="D44" s="14" t="s">
        <v>200</v>
      </c>
      <c r="E44" s="14">
        <v>9314930259</v>
      </c>
      <c r="F44" s="14" t="s">
        <v>182</v>
      </c>
      <c r="G44" s="14" t="s">
        <v>60</v>
      </c>
      <c r="H44" s="14">
        <v>2506.6</v>
      </c>
      <c r="I44" s="14">
        <v>11</v>
      </c>
      <c r="J44" s="16">
        <v>8011.16</v>
      </c>
      <c r="K44" s="14" t="s">
        <v>56</v>
      </c>
      <c r="L44" s="14">
        <v>27572.6</v>
      </c>
      <c r="M44" s="15" t="s">
        <v>184</v>
      </c>
      <c r="N44" s="14">
        <v>29.05</v>
      </c>
      <c r="O44" s="4" t="str">
        <f t="shared" si="0"/>
        <v>High</v>
      </c>
      <c r="P44" s="4">
        <f t="shared" si="1"/>
        <v>29.05</v>
      </c>
    </row>
    <row r="45" spans="1:16" x14ac:dyDescent="0.3">
      <c r="A45" s="14" t="s">
        <v>246</v>
      </c>
      <c r="B45" s="14" t="s">
        <v>179</v>
      </c>
      <c r="C45" s="14" t="s">
        <v>180</v>
      </c>
      <c r="D45" s="14" t="s">
        <v>189</v>
      </c>
      <c r="E45" s="17">
        <v>93262535688</v>
      </c>
      <c r="F45" s="14" t="s">
        <v>6</v>
      </c>
      <c r="G45" s="14" t="s">
        <v>95</v>
      </c>
      <c r="H45" s="14">
        <v>727.87</v>
      </c>
      <c r="I45" s="14">
        <v>2</v>
      </c>
      <c r="J45" s="14">
        <v>385.93</v>
      </c>
      <c r="K45" s="14" t="s">
        <v>41</v>
      </c>
      <c r="L45" s="14">
        <v>1455.74</v>
      </c>
      <c r="M45" s="15" t="s">
        <v>191</v>
      </c>
      <c r="N45" s="14">
        <v>26.51</v>
      </c>
      <c r="O45" s="4" t="str">
        <f t="shared" si="0"/>
        <v>Low</v>
      </c>
      <c r="P45" s="4">
        <f t="shared" si="1"/>
        <v>26.51</v>
      </c>
    </row>
    <row r="46" spans="1:16" x14ac:dyDescent="0.3">
      <c r="A46" s="14" t="s">
        <v>247</v>
      </c>
      <c r="B46" s="14" t="s">
        <v>179</v>
      </c>
      <c r="C46" s="14" t="s">
        <v>180</v>
      </c>
      <c r="D46" s="14" t="s">
        <v>219</v>
      </c>
      <c r="E46" s="14">
        <v>9922473225</v>
      </c>
      <c r="F46" s="14" t="s">
        <v>15</v>
      </c>
      <c r="G46" s="14" t="s">
        <v>193</v>
      </c>
      <c r="H46" s="14">
        <v>2509.39</v>
      </c>
      <c r="I46" s="14">
        <v>4</v>
      </c>
      <c r="J46" s="14">
        <v>2607.48</v>
      </c>
      <c r="K46" s="14" t="s">
        <v>41</v>
      </c>
      <c r="L46" s="14">
        <v>10037.56</v>
      </c>
      <c r="M46" s="15" t="s">
        <v>184</v>
      </c>
      <c r="N46" s="14">
        <v>25.98</v>
      </c>
      <c r="O46" s="4" t="str">
        <f t="shared" si="0"/>
        <v>Medium</v>
      </c>
      <c r="P46" s="4">
        <f t="shared" si="1"/>
        <v>25.98</v>
      </c>
    </row>
    <row r="47" spans="1:16" x14ac:dyDescent="0.3">
      <c r="A47" s="14" t="s">
        <v>248</v>
      </c>
      <c r="B47" s="14" t="s">
        <v>210</v>
      </c>
      <c r="C47" s="14" t="s">
        <v>180</v>
      </c>
      <c r="D47" s="14" t="s">
        <v>207</v>
      </c>
      <c r="E47" s="14">
        <v>9435049619</v>
      </c>
      <c r="F47" s="14" t="s">
        <v>6</v>
      </c>
      <c r="G47" s="14" t="s">
        <v>214</v>
      </c>
      <c r="H47" s="14">
        <v>254.27</v>
      </c>
      <c r="I47" s="14">
        <v>5</v>
      </c>
      <c r="J47" s="14">
        <v>247.89</v>
      </c>
      <c r="K47" s="14" t="s">
        <v>186</v>
      </c>
      <c r="L47" s="14">
        <v>1271.3499999999999</v>
      </c>
      <c r="M47" s="15" t="s">
        <v>191</v>
      </c>
      <c r="N47" s="14">
        <v>19.5</v>
      </c>
      <c r="O47" s="4" t="str">
        <f t="shared" si="0"/>
        <v>Low</v>
      </c>
      <c r="P47" s="4">
        <f t="shared" si="1"/>
        <v>19.5</v>
      </c>
    </row>
    <row r="48" spans="1:16" x14ac:dyDescent="0.3">
      <c r="A48" s="14" t="s">
        <v>249</v>
      </c>
      <c r="B48" s="14" t="s">
        <v>199</v>
      </c>
      <c r="C48" s="14" t="s">
        <v>180</v>
      </c>
      <c r="D48" s="14" t="s">
        <v>219</v>
      </c>
      <c r="E48" s="14">
        <v>9139717689</v>
      </c>
      <c r="F48" s="14" t="s">
        <v>6</v>
      </c>
      <c r="G48" s="14" t="s">
        <v>95</v>
      </c>
      <c r="H48" s="14">
        <v>1104.23</v>
      </c>
      <c r="I48" s="14">
        <v>11</v>
      </c>
      <c r="J48" s="14">
        <v>1883.37</v>
      </c>
      <c r="K48" s="14" t="s">
        <v>41</v>
      </c>
      <c r="L48" s="14">
        <v>12146.53</v>
      </c>
      <c r="M48" s="15" t="s">
        <v>184</v>
      </c>
      <c r="N48" s="14">
        <v>15.51</v>
      </c>
      <c r="O48" s="4" t="str">
        <f t="shared" si="0"/>
        <v>Medium</v>
      </c>
      <c r="P48" s="4">
        <f t="shared" si="1"/>
        <v>15.51</v>
      </c>
    </row>
    <row r="49" spans="1:16" x14ac:dyDescent="0.3">
      <c r="A49" s="14" t="s">
        <v>250</v>
      </c>
      <c r="B49" s="14" t="s">
        <v>188</v>
      </c>
      <c r="C49" s="14" t="s">
        <v>180</v>
      </c>
      <c r="D49" s="14" t="s">
        <v>189</v>
      </c>
      <c r="E49" s="14">
        <v>9873282041</v>
      </c>
      <c r="F49" s="14" t="s">
        <v>6</v>
      </c>
      <c r="G49" s="14" t="s">
        <v>5</v>
      </c>
      <c r="H49" s="14">
        <v>861.53</v>
      </c>
      <c r="I49" s="14">
        <v>3</v>
      </c>
      <c r="J49" s="14">
        <v>482.01</v>
      </c>
      <c r="K49" s="14" t="s">
        <v>217</v>
      </c>
      <c r="L49" s="14">
        <v>2584.59</v>
      </c>
      <c r="M49" s="15" t="s">
        <v>191</v>
      </c>
      <c r="N49" s="14">
        <v>18.649999999999999</v>
      </c>
      <c r="O49" s="4" t="str">
        <f t="shared" si="0"/>
        <v>Low</v>
      </c>
      <c r="P49" s="4">
        <f t="shared" si="1"/>
        <v>18.649999999999999</v>
      </c>
    </row>
    <row r="50" spans="1:16" x14ac:dyDescent="0.3">
      <c r="A50" s="14" t="s">
        <v>251</v>
      </c>
      <c r="B50" s="14" t="s">
        <v>210</v>
      </c>
      <c r="C50" s="14" t="s">
        <v>180</v>
      </c>
      <c r="D50" s="14" t="s">
        <v>189</v>
      </c>
      <c r="E50" s="14">
        <v>9520705759</v>
      </c>
      <c r="F50" s="14" t="s">
        <v>182</v>
      </c>
      <c r="G50" s="14" t="s">
        <v>190</v>
      </c>
      <c r="H50" s="14">
        <v>940.76</v>
      </c>
      <c r="I50" s="14">
        <v>4</v>
      </c>
      <c r="J50" s="14">
        <v>842.47</v>
      </c>
      <c r="K50" s="14" t="s">
        <v>217</v>
      </c>
      <c r="L50" s="14">
        <v>3763.04</v>
      </c>
      <c r="M50" s="15" t="s">
        <v>191</v>
      </c>
      <c r="N50" s="14">
        <v>22.39</v>
      </c>
      <c r="O50" s="4" t="str">
        <f t="shared" si="0"/>
        <v>Low</v>
      </c>
      <c r="P50" s="4">
        <f t="shared" si="1"/>
        <v>22.39</v>
      </c>
    </row>
    <row r="51" spans="1:16" x14ac:dyDescent="0.3">
      <c r="A51" s="14" t="s">
        <v>252</v>
      </c>
      <c r="B51" s="14" t="s">
        <v>199</v>
      </c>
      <c r="C51" s="14" t="s">
        <v>180</v>
      </c>
      <c r="D51" s="14" t="s">
        <v>189</v>
      </c>
      <c r="E51" s="14">
        <v>9648648568</v>
      </c>
      <c r="F51" s="14" t="s">
        <v>182</v>
      </c>
      <c r="G51" s="14" t="s">
        <v>190</v>
      </c>
      <c r="H51" s="14">
        <v>1505.5</v>
      </c>
      <c r="I51" s="14">
        <v>11</v>
      </c>
      <c r="J51" s="14">
        <v>3985.19</v>
      </c>
      <c r="K51" s="14" t="s">
        <v>217</v>
      </c>
      <c r="L51" s="14">
        <v>16560.5</v>
      </c>
      <c r="M51" s="15" t="s">
        <v>184</v>
      </c>
      <c r="N51" s="14">
        <v>24.06</v>
      </c>
      <c r="O51" s="4" t="str">
        <f t="shared" si="0"/>
        <v>High</v>
      </c>
      <c r="P51" s="4">
        <f t="shared" si="1"/>
        <v>24.06</v>
      </c>
    </row>
    <row r="52" spans="1:16" x14ac:dyDescent="0.3">
      <c r="A52" s="14" t="s">
        <v>253</v>
      </c>
      <c r="B52" s="14" t="s">
        <v>179</v>
      </c>
      <c r="C52" s="14" t="s">
        <v>180</v>
      </c>
      <c r="D52" s="14" t="s">
        <v>219</v>
      </c>
      <c r="E52" s="14">
        <v>9416435713</v>
      </c>
      <c r="F52" s="14" t="s">
        <v>182</v>
      </c>
      <c r="G52" s="14" t="s">
        <v>53</v>
      </c>
      <c r="H52" s="14">
        <v>1477.49</v>
      </c>
      <c r="I52" s="14">
        <v>11</v>
      </c>
      <c r="J52" s="14">
        <v>2428.98</v>
      </c>
      <c r="K52" s="14" t="s">
        <v>41</v>
      </c>
      <c r="L52" s="14">
        <v>16252.39</v>
      </c>
      <c r="M52" s="15" t="s">
        <v>184</v>
      </c>
      <c r="N52" s="14">
        <v>14.95</v>
      </c>
      <c r="O52" s="4" t="str">
        <f t="shared" si="0"/>
        <v>High</v>
      </c>
      <c r="P52" s="4">
        <f t="shared" si="1"/>
        <v>14.95</v>
      </c>
    </row>
    <row r="53" spans="1:16" x14ac:dyDescent="0.3">
      <c r="A53" s="14" t="s">
        <v>254</v>
      </c>
      <c r="B53" s="14" t="s">
        <v>199</v>
      </c>
      <c r="C53" s="14" t="s">
        <v>180</v>
      </c>
      <c r="D53" s="14" t="s">
        <v>207</v>
      </c>
      <c r="E53" s="14">
        <v>9211381294</v>
      </c>
      <c r="F53" s="14" t="s">
        <v>15</v>
      </c>
      <c r="G53" s="14" t="s">
        <v>14</v>
      </c>
      <c r="H53" s="14">
        <v>704.64</v>
      </c>
      <c r="I53" s="14">
        <v>2</v>
      </c>
      <c r="J53" s="14">
        <v>163.57</v>
      </c>
      <c r="K53" s="14" t="s">
        <v>56</v>
      </c>
      <c r="L53" s="14">
        <v>1409.28</v>
      </c>
      <c r="M53" s="15" t="s">
        <v>191</v>
      </c>
      <c r="N53" s="14">
        <v>11.61</v>
      </c>
      <c r="O53" s="4" t="str">
        <f t="shared" si="0"/>
        <v>Low</v>
      </c>
      <c r="P53" s="4">
        <f t="shared" si="1"/>
        <v>11.61</v>
      </c>
    </row>
    <row r="54" spans="1:16" x14ac:dyDescent="0.3">
      <c r="A54" s="14" t="s">
        <v>255</v>
      </c>
      <c r="B54" s="14" t="s">
        <v>210</v>
      </c>
      <c r="C54" s="14" t="s">
        <v>180</v>
      </c>
      <c r="D54" s="14" t="s">
        <v>189</v>
      </c>
      <c r="E54" s="14">
        <v>9791244114</v>
      </c>
      <c r="F54" s="14" t="s">
        <v>15</v>
      </c>
      <c r="G54" s="14" t="s">
        <v>232</v>
      </c>
      <c r="H54" s="14">
        <v>2030.2</v>
      </c>
      <c r="I54" s="14">
        <v>13</v>
      </c>
      <c r="J54" s="14">
        <v>3695.03</v>
      </c>
      <c r="K54" s="14" t="s">
        <v>186</v>
      </c>
      <c r="L54" s="14">
        <v>26392.6</v>
      </c>
      <c r="M54" s="15" t="s">
        <v>184</v>
      </c>
      <c r="N54" s="14">
        <v>14</v>
      </c>
      <c r="O54" s="4" t="str">
        <f t="shared" si="0"/>
        <v>High</v>
      </c>
      <c r="P54" s="4">
        <f t="shared" si="1"/>
        <v>14</v>
      </c>
    </row>
    <row r="55" spans="1:16" x14ac:dyDescent="0.3">
      <c r="A55" s="14" t="s">
        <v>256</v>
      </c>
      <c r="B55" s="14" t="s">
        <v>179</v>
      </c>
      <c r="C55" s="14" t="s">
        <v>180</v>
      </c>
      <c r="D55" s="14" t="s">
        <v>207</v>
      </c>
      <c r="E55" s="14">
        <v>9194670146</v>
      </c>
      <c r="F55" s="14" t="s">
        <v>182</v>
      </c>
      <c r="G55" s="14" t="s">
        <v>183</v>
      </c>
      <c r="H55" s="14">
        <v>1822.28</v>
      </c>
      <c r="I55" s="14">
        <v>4</v>
      </c>
      <c r="J55" s="14">
        <v>1973.2</v>
      </c>
      <c r="K55" s="14" t="s">
        <v>194</v>
      </c>
      <c r="L55" s="14">
        <v>7289.12</v>
      </c>
      <c r="M55" s="15" t="s">
        <v>195</v>
      </c>
      <c r="N55" s="14">
        <v>27.07</v>
      </c>
      <c r="O55" s="4" t="str">
        <f t="shared" si="0"/>
        <v>Medium</v>
      </c>
      <c r="P55" s="4">
        <f t="shared" si="1"/>
        <v>27.07</v>
      </c>
    </row>
    <row r="56" spans="1:16" x14ac:dyDescent="0.3">
      <c r="A56" s="14" t="s">
        <v>257</v>
      </c>
      <c r="B56" s="14" t="s">
        <v>210</v>
      </c>
      <c r="C56" s="14" t="s">
        <v>180</v>
      </c>
      <c r="D56" s="14" t="s">
        <v>203</v>
      </c>
      <c r="E56" s="14">
        <v>9519275644</v>
      </c>
      <c r="F56" s="14" t="s">
        <v>15</v>
      </c>
      <c r="G56" s="14" t="s">
        <v>193</v>
      </c>
      <c r="H56" s="14">
        <v>600.17999999999995</v>
      </c>
      <c r="I56" s="14">
        <v>11</v>
      </c>
      <c r="J56" s="14">
        <v>1525.57</v>
      </c>
      <c r="K56" s="14" t="s">
        <v>41</v>
      </c>
      <c r="L56" s="14">
        <v>6601.98</v>
      </c>
      <c r="M56" s="15" t="s">
        <v>195</v>
      </c>
      <c r="N56" s="14">
        <v>23.11</v>
      </c>
      <c r="O56" s="4" t="str">
        <f t="shared" si="0"/>
        <v>Medium</v>
      </c>
      <c r="P56" s="4">
        <f t="shared" si="1"/>
        <v>23.11</v>
      </c>
    </row>
    <row r="57" spans="1:16" x14ac:dyDescent="0.3">
      <c r="A57" s="14" t="s">
        <v>258</v>
      </c>
      <c r="B57" s="14" t="s">
        <v>188</v>
      </c>
      <c r="C57" s="14" t="s">
        <v>180</v>
      </c>
      <c r="D57" s="14" t="s">
        <v>203</v>
      </c>
      <c r="E57" s="14">
        <v>9520013561</v>
      </c>
      <c r="F57" s="14" t="s">
        <v>182</v>
      </c>
      <c r="G57" s="14" t="s">
        <v>190</v>
      </c>
      <c r="H57" s="14">
        <v>2330.36</v>
      </c>
      <c r="I57" s="14">
        <v>7</v>
      </c>
      <c r="J57" s="14">
        <v>3532.26</v>
      </c>
      <c r="K57" s="14" t="s">
        <v>217</v>
      </c>
      <c r="L57" s="14">
        <v>16312.52</v>
      </c>
      <c r="M57" s="15" t="s">
        <v>184</v>
      </c>
      <c r="N57" s="14">
        <v>21.65</v>
      </c>
      <c r="O57" s="4" t="str">
        <f t="shared" si="0"/>
        <v>High</v>
      </c>
      <c r="P57" s="4">
        <f t="shared" si="1"/>
        <v>21.65</v>
      </c>
    </row>
    <row r="58" spans="1:16" x14ac:dyDescent="0.3">
      <c r="A58" s="14" t="s">
        <v>259</v>
      </c>
      <c r="B58" s="14" t="s">
        <v>210</v>
      </c>
      <c r="C58" s="14" t="s">
        <v>180</v>
      </c>
      <c r="D58" s="14" t="s">
        <v>205</v>
      </c>
      <c r="E58" s="17">
        <v>95989895092</v>
      </c>
      <c r="F58" s="14" t="s">
        <v>6</v>
      </c>
      <c r="G58" s="14" t="s">
        <v>26</v>
      </c>
      <c r="H58" s="14">
        <v>1084.67</v>
      </c>
      <c r="I58" s="14">
        <v>13</v>
      </c>
      <c r="J58" s="14">
        <v>4140.1400000000003</v>
      </c>
      <c r="K58" s="14" t="s">
        <v>194</v>
      </c>
      <c r="L58" s="14">
        <v>14100.71</v>
      </c>
      <c r="M58" s="15" t="s">
        <v>184</v>
      </c>
      <c r="N58" s="14">
        <v>29.36</v>
      </c>
      <c r="O58" s="4" t="str">
        <f t="shared" si="0"/>
        <v>Medium</v>
      </c>
      <c r="P58" s="4">
        <f t="shared" si="1"/>
        <v>29.36</v>
      </c>
    </row>
    <row r="59" spans="1:16" x14ac:dyDescent="0.3">
      <c r="A59" s="14" t="s">
        <v>260</v>
      </c>
      <c r="B59" s="14" t="s">
        <v>199</v>
      </c>
      <c r="C59" s="14" t="s">
        <v>180</v>
      </c>
      <c r="D59" s="14" t="s">
        <v>219</v>
      </c>
      <c r="E59" s="14">
        <v>9499862542</v>
      </c>
      <c r="F59" s="14" t="s">
        <v>15</v>
      </c>
      <c r="G59" s="14" t="s">
        <v>232</v>
      </c>
      <c r="H59" s="14">
        <v>1893.55</v>
      </c>
      <c r="I59" s="14">
        <v>12</v>
      </c>
      <c r="J59" s="14">
        <v>3204.64</v>
      </c>
      <c r="K59" s="14" t="s">
        <v>186</v>
      </c>
      <c r="L59" s="14">
        <v>22722.6</v>
      </c>
      <c r="M59" s="15" t="s">
        <v>184</v>
      </c>
      <c r="N59" s="14">
        <v>14.1</v>
      </c>
      <c r="O59" s="4" t="str">
        <f t="shared" si="0"/>
        <v>High</v>
      </c>
      <c r="P59" s="4">
        <f t="shared" si="1"/>
        <v>14.1</v>
      </c>
    </row>
    <row r="60" spans="1:16" x14ac:dyDescent="0.3">
      <c r="A60" s="14" t="s">
        <v>261</v>
      </c>
      <c r="B60" s="14" t="s">
        <v>210</v>
      </c>
      <c r="C60" s="14" t="s">
        <v>180</v>
      </c>
      <c r="D60" s="14" t="s">
        <v>205</v>
      </c>
      <c r="E60" s="14">
        <v>9724136290</v>
      </c>
      <c r="F60" s="14" t="s">
        <v>15</v>
      </c>
      <c r="G60" s="14" t="s">
        <v>14</v>
      </c>
      <c r="H60" s="14">
        <v>1747.22</v>
      </c>
      <c r="I60" s="14">
        <v>6</v>
      </c>
      <c r="J60" s="14">
        <v>2678.22</v>
      </c>
      <c r="K60" s="14" t="s">
        <v>194</v>
      </c>
      <c r="L60" s="14">
        <v>10483.32</v>
      </c>
      <c r="M60" s="15" t="s">
        <v>184</v>
      </c>
      <c r="N60" s="14">
        <v>25.55</v>
      </c>
      <c r="O60" s="4" t="str">
        <f t="shared" si="0"/>
        <v>Medium</v>
      </c>
      <c r="P60" s="4">
        <f t="shared" si="1"/>
        <v>25.55</v>
      </c>
    </row>
    <row r="61" spans="1:16" x14ac:dyDescent="0.3">
      <c r="A61" s="14" t="s">
        <v>262</v>
      </c>
      <c r="B61" s="14" t="s">
        <v>199</v>
      </c>
      <c r="C61" s="14" t="s">
        <v>180</v>
      </c>
      <c r="D61" s="14" t="s">
        <v>205</v>
      </c>
      <c r="E61" s="14">
        <v>9321909198</v>
      </c>
      <c r="F61" s="14" t="s">
        <v>15</v>
      </c>
      <c r="G61" s="14" t="s">
        <v>99</v>
      </c>
      <c r="H61" s="14">
        <v>287.31</v>
      </c>
      <c r="I61" s="14">
        <v>8</v>
      </c>
      <c r="J61" s="14">
        <v>381.56</v>
      </c>
      <c r="K61" s="14" t="s">
        <v>217</v>
      </c>
      <c r="L61" s="14">
        <v>2298.48</v>
      </c>
      <c r="M61" s="15" t="s">
        <v>191</v>
      </c>
      <c r="N61" s="14">
        <v>16.600000000000001</v>
      </c>
      <c r="O61" s="4" t="str">
        <f t="shared" si="0"/>
        <v>Low</v>
      </c>
      <c r="P61" s="4">
        <f t="shared" si="1"/>
        <v>16.600000000000001</v>
      </c>
    </row>
    <row r="62" spans="1:16" x14ac:dyDescent="0.3">
      <c r="A62" s="14" t="s">
        <v>263</v>
      </c>
      <c r="B62" s="14" t="s">
        <v>210</v>
      </c>
      <c r="C62" s="14" t="s">
        <v>180</v>
      </c>
      <c r="D62" s="14" t="s">
        <v>203</v>
      </c>
      <c r="E62" s="14">
        <v>9760693305</v>
      </c>
      <c r="F62" s="14" t="s">
        <v>182</v>
      </c>
      <c r="G62" s="14" t="s">
        <v>183</v>
      </c>
      <c r="H62" s="14">
        <v>1700.05</v>
      </c>
      <c r="I62" s="14">
        <v>2</v>
      </c>
      <c r="J62" s="14">
        <v>383.92</v>
      </c>
      <c r="K62" s="14" t="s">
        <v>56</v>
      </c>
      <c r="L62" s="14">
        <v>3400.1</v>
      </c>
      <c r="M62" s="15" t="s">
        <v>191</v>
      </c>
      <c r="N62" s="14">
        <v>11.29</v>
      </c>
      <c r="O62" s="4" t="str">
        <f t="shared" si="0"/>
        <v>Low</v>
      </c>
      <c r="P62" s="4">
        <f t="shared" si="1"/>
        <v>11.29</v>
      </c>
    </row>
    <row r="63" spans="1:16" x14ac:dyDescent="0.3">
      <c r="A63" s="14" t="s">
        <v>264</v>
      </c>
      <c r="B63" s="14" t="s">
        <v>199</v>
      </c>
      <c r="C63" s="14" t="s">
        <v>180</v>
      </c>
      <c r="D63" s="14" t="s">
        <v>205</v>
      </c>
      <c r="E63" s="14">
        <v>9658575570</v>
      </c>
      <c r="F63" s="14" t="s">
        <v>15</v>
      </c>
      <c r="G63" s="14" t="s">
        <v>99</v>
      </c>
      <c r="H63" s="14">
        <v>1180.31</v>
      </c>
      <c r="I63" s="14">
        <v>7</v>
      </c>
      <c r="J63" s="14">
        <v>847.73</v>
      </c>
      <c r="K63" s="14" t="s">
        <v>56</v>
      </c>
      <c r="L63" s="14">
        <v>8262.17</v>
      </c>
      <c r="M63" s="15" t="s">
        <v>195</v>
      </c>
      <c r="N63" s="14">
        <v>10.26</v>
      </c>
      <c r="O63" s="4" t="str">
        <f t="shared" si="0"/>
        <v>Medium</v>
      </c>
      <c r="P63" s="4">
        <f t="shared" si="1"/>
        <v>10.26</v>
      </c>
    </row>
    <row r="64" spans="1:16" x14ac:dyDescent="0.3">
      <c r="A64" s="14" t="s">
        <v>265</v>
      </c>
      <c r="B64" s="14" t="s">
        <v>188</v>
      </c>
      <c r="C64" s="14" t="s">
        <v>180</v>
      </c>
      <c r="D64" s="14" t="s">
        <v>205</v>
      </c>
      <c r="E64" s="14">
        <v>9950273824</v>
      </c>
      <c r="F64" s="14" t="s">
        <v>15</v>
      </c>
      <c r="G64" s="14" t="s">
        <v>232</v>
      </c>
      <c r="H64" s="14">
        <v>653.35</v>
      </c>
      <c r="I64" s="14">
        <v>4</v>
      </c>
      <c r="J64" s="14">
        <v>345.46</v>
      </c>
      <c r="K64" s="14" t="s">
        <v>41</v>
      </c>
      <c r="L64" s="14">
        <v>2613.4</v>
      </c>
      <c r="M64" s="15" t="s">
        <v>191</v>
      </c>
      <c r="N64" s="14">
        <v>13.22</v>
      </c>
      <c r="O64" s="4" t="str">
        <f t="shared" si="0"/>
        <v>Low</v>
      </c>
      <c r="P64" s="4">
        <f t="shared" si="1"/>
        <v>13.22</v>
      </c>
    </row>
    <row r="65" spans="1:16" x14ac:dyDescent="0.3">
      <c r="A65" s="14" t="s">
        <v>266</v>
      </c>
      <c r="B65" s="14" t="s">
        <v>188</v>
      </c>
      <c r="C65" s="14" t="s">
        <v>180</v>
      </c>
      <c r="D65" s="14" t="s">
        <v>200</v>
      </c>
      <c r="E65" s="14">
        <v>9898816813</v>
      </c>
      <c r="F65" s="14" t="s">
        <v>6</v>
      </c>
      <c r="G65" s="14" t="s">
        <v>5</v>
      </c>
      <c r="H65" s="14">
        <v>1881.74</v>
      </c>
      <c r="I65" s="14">
        <v>4</v>
      </c>
      <c r="J65" s="14">
        <v>1363.83</v>
      </c>
      <c r="K65" s="14" t="s">
        <v>217</v>
      </c>
      <c r="L65" s="14">
        <v>7526.96</v>
      </c>
      <c r="M65" s="15" t="s">
        <v>195</v>
      </c>
      <c r="N65" s="14">
        <v>18.12</v>
      </c>
      <c r="O65" s="4" t="str">
        <f t="shared" si="0"/>
        <v>Medium</v>
      </c>
      <c r="P65" s="4">
        <f t="shared" si="1"/>
        <v>18.12</v>
      </c>
    </row>
    <row r="66" spans="1:16" x14ac:dyDescent="0.3">
      <c r="A66" s="14" t="s">
        <v>267</v>
      </c>
      <c r="B66" s="14" t="s">
        <v>210</v>
      </c>
      <c r="C66" s="14" t="s">
        <v>180</v>
      </c>
      <c r="D66" s="14" t="s">
        <v>207</v>
      </c>
      <c r="E66" s="14">
        <v>9571594565</v>
      </c>
      <c r="F66" s="14" t="s">
        <v>15</v>
      </c>
      <c r="G66" s="14" t="s">
        <v>17</v>
      </c>
      <c r="H66" s="14">
        <v>1206.3499999999999</v>
      </c>
      <c r="I66" s="14">
        <v>15</v>
      </c>
      <c r="J66" s="14">
        <v>2801.82</v>
      </c>
      <c r="K66" s="14" t="s">
        <v>56</v>
      </c>
      <c r="L66" s="14">
        <v>18095.25</v>
      </c>
      <c r="M66" s="15" t="s">
        <v>184</v>
      </c>
      <c r="N66" s="14">
        <v>15.48</v>
      </c>
      <c r="O66" s="4" t="str">
        <f t="shared" si="0"/>
        <v>High</v>
      </c>
      <c r="P66" s="4">
        <f t="shared" si="1"/>
        <v>15.48</v>
      </c>
    </row>
    <row r="67" spans="1:16" x14ac:dyDescent="0.3">
      <c r="A67" s="14" t="s">
        <v>268</v>
      </c>
      <c r="B67" s="14" t="s">
        <v>188</v>
      </c>
      <c r="C67" s="14" t="s">
        <v>180</v>
      </c>
      <c r="D67" s="14" t="s">
        <v>203</v>
      </c>
      <c r="E67" s="14">
        <v>9684352160</v>
      </c>
      <c r="F67" s="14" t="s">
        <v>182</v>
      </c>
      <c r="G67" s="14" t="s">
        <v>216</v>
      </c>
      <c r="H67" s="14">
        <v>1849.95</v>
      </c>
      <c r="I67" s="14">
        <v>5</v>
      </c>
      <c r="J67" s="14">
        <v>2111.02</v>
      </c>
      <c r="K67" s="14" t="s">
        <v>217</v>
      </c>
      <c r="L67" s="14">
        <v>9249.75</v>
      </c>
      <c r="M67" s="15" t="s">
        <v>195</v>
      </c>
      <c r="N67" s="14">
        <v>22.82</v>
      </c>
      <c r="O67" s="4" t="str">
        <f t="shared" ref="O67:O101" si="2">IF(L67&gt;=15000,"High",IF(L67&gt;=5000,"Medium","Low"))</f>
        <v>Medium</v>
      </c>
      <c r="P67" s="4">
        <f t="shared" ref="P67:P101" si="3">ROUND(($J67/$L67 )*100,2)</f>
        <v>22.82</v>
      </c>
    </row>
    <row r="68" spans="1:16" x14ac:dyDescent="0.3">
      <c r="A68" s="14" t="s">
        <v>269</v>
      </c>
      <c r="B68" s="14" t="s">
        <v>179</v>
      </c>
      <c r="C68" s="14" t="s">
        <v>180</v>
      </c>
      <c r="D68" s="14" t="s">
        <v>189</v>
      </c>
      <c r="E68" s="14">
        <v>9845713875</v>
      </c>
      <c r="F68" s="14" t="s">
        <v>6</v>
      </c>
      <c r="G68" s="14" t="s">
        <v>95</v>
      </c>
      <c r="H68" s="14">
        <v>1896.1</v>
      </c>
      <c r="I68" s="14">
        <v>5</v>
      </c>
      <c r="J68" s="14">
        <v>2676.46</v>
      </c>
      <c r="K68" s="14" t="s">
        <v>217</v>
      </c>
      <c r="L68" s="14">
        <v>9480.5</v>
      </c>
      <c r="M68" s="15" t="s">
        <v>195</v>
      </c>
      <c r="N68" s="14">
        <v>28.23</v>
      </c>
      <c r="O68" s="4" t="str">
        <f t="shared" si="2"/>
        <v>Medium</v>
      </c>
      <c r="P68" s="4">
        <f t="shared" si="3"/>
        <v>28.23</v>
      </c>
    </row>
    <row r="69" spans="1:16" x14ac:dyDescent="0.3">
      <c r="A69" s="14" t="s">
        <v>270</v>
      </c>
      <c r="B69" s="14" t="s">
        <v>188</v>
      </c>
      <c r="C69" s="14" t="s">
        <v>180</v>
      </c>
      <c r="D69" s="14" t="s">
        <v>200</v>
      </c>
      <c r="E69" s="17">
        <v>85</v>
      </c>
      <c r="F69" s="14" t="s">
        <v>15</v>
      </c>
      <c r="G69" s="14" t="s">
        <v>99</v>
      </c>
      <c r="H69" s="14">
        <v>1799.6</v>
      </c>
      <c r="I69" s="14">
        <v>6</v>
      </c>
      <c r="J69" s="14">
        <v>1551.79</v>
      </c>
      <c r="K69" s="14" t="s">
        <v>194</v>
      </c>
      <c r="L69" s="14">
        <v>10797.6</v>
      </c>
      <c r="M69" s="15" t="s">
        <v>184</v>
      </c>
      <c r="N69" s="14">
        <v>14.37</v>
      </c>
      <c r="O69" s="4" t="str">
        <f t="shared" si="2"/>
        <v>Medium</v>
      </c>
      <c r="P69" s="4">
        <f t="shared" si="3"/>
        <v>14.37</v>
      </c>
    </row>
    <row r="70" spans="1:16" x14ac:dyDescent="0.3">
      <c r="A70" s="14" t="s">
        <v>271</v>
      </c>
      <c r="B70" s="14" t="s">
        <v>210</v>
      </c>
      <c r="C70" s="14" t="s">
        <v>180</v>
      </c>
      <c r="D70" s="14" t="s">
        <v>181</v>
      </c>
      <c r="E70" s="14">
        <v>9304184751</v>
      </c>
      <c r="F70" s="14" t="s">
        <v>15</v>
      </c>
      <c r="G70" s="14" t="s">
        <v>232</v>
      </c>
      <c r="H70" s="14">
        <v>1330.26</v>
      </c>
      <c r="I70" s="14">
        <v>2</v>
      </c>
      <c r="J70" s="14">
        <v>669.54</v>
      </c>
      <c r="K70" s="14" t="s">
        <v>41</v>
      </c>
      <c r="L70" s="14">
        <v>2660.52</v>
      </c>
      <c r="M70" s="15" t="s">
        <v>191</v>
      </c>
      <c r="N70" s="14">
        <v>25.17</v>
      </c>
      <c r="O70" s="4" t="str">
        <f t="shared" si="2"/>
        <v>Low</v>
      </c>
      <c r="P70" s="4">
        <f t="shared" si="3"/>
        <v>25.17</v>
      </c>
    </row>
    <row r="71" spans="1:16" x14ac:dyDescent="0.3">
      <c r="A71" s="14" t="s">
        <v>272</v>
      </c>
      <c r="B71" s="14" t="s">
        <v>210</v>
      </c>
      <c r="C71" s="14" t="s">
        <v>180</v>
      </c>
      <c r="D71" s="14" t="s">
        <v>207</v>
      </c>
      <c r="E71" s="14">
        <v>9141039856</v>
      </c>
      <c r="F71" s="14" t="s">
        <v>6</v>
      </c>
      <c r="G71" s="14" t="s">
        <v>62</v>
      </c>
      <c r="H71" s="14">
        <v>322.57</v>
      </c>
      <c r="I71" s="14">
        <v>13</v>
      </c>
      <c r="J71" s="14">
        <v>684.45</v>
      </c>
      <c r="K71" s="14" t="s">
        <v>217</v>
      </c>
      <c r="L71" s="14">
        <v>4193.41</v>
      </c>
      <c r="M71" s="15" t="s">
        <v>191</v>
      </c>
      <c r="N71" s="14">
        <v>16.32</v>
      </c>
      <c r="O71" s="4" t="str">
        <f t="shared" si="2"/>
        <v>Low</v>
      </c>
      <c r="P71" s="4">
        <f t="shared" si="3"/>
        <v>16.32</v>
      </c>
    </row>
    <row r="72" spans="1:16" x14ac:dyDescent="0.3">
      <c r="A72" s="14" t="s">
        <v>273</v>
      </c>
      <c r="B72" s="14" t="s">
        <v>199</v>
      </c>
      <c r="C72" s="14" t="s">
        <v>180</v>
      </c>
      <c r="D72" s="14" t="s">
        <v>200</v>
      </c>
      <c r="E72" s="14">
        <v>9640589740</v>
      </c>
      <c r="F72" s="14" t="s">
        <v>6</v>
      </c>
      <c r="G72" s="14" t="s">
        <v>95</v>
      </c>
      <c r="H72" s="14">
        <v>1510.41</v>
      </c>
      <c r="I72" s="14">
        <v>1</v>
      </c>
      <c r="J72" s="14">
        <v>434.79</v>
      </c>
      <c r="K72" s="14" t="s">
        <v>186</v>
      </c>
      <c r="L72" s="14">
        <v>1510.41</v>
      </c>
      <c r="M72" s="15" t="s">
        <v>191</v>
      </c>
      <c r="N72" s="14">
        <v>28.79</v>
      </c>
      <c r="O72" s="4" t="str">
        <f t="shared" si="2"/>
        <v>Low</v>
      </c>
      <c r="P72" s="4">
        <f t="shared" si="3"/>
        <v>28.79</v>
      </c>
    </row>
    <row r="73" spans="1:16" x14ac:dyDescent="0.3">
      <c r="A73" s="14" t="s">
        <v>274</v>
      </c>
      <c r="B73" s="14" t="s">
        <v>188</v>
      </c>
      <c r="C73" s="14" t="s">
        <v>180</v>
      </c>
      <c r="D73" s="14" t="s">
        <v>181</v>
      </c>
      <c r="E73" s="14">
        <v>9406517796</v>
      </c>
      <c r="F73" s="14" t="s">
        <v>182</v>
      </c>
      <c r="G73" s="14" t="s">
        <v>60</v>
      </c>
      <c r="H73" s="14">
        <v>1085.52</v>
      </c>
      <c r="I73" s="14">
        <v>4</v>
      </c>
      <c r="J73" s="14">
        <v>749.57</v>
      </c>
      <c r="K73" s="14" t="s">
        <v>41</v>
      </c>
      <c r="L73" s="14">
        <v>4342.08</v>
      </c>
      <c r="M73" s="15" t="s">
        <v>191</v>
      </c>
      <c r="N73" s="14">
        <v>17.260000000000002</v>
      </c>
      <c r="O73" s="4" t="str">
        <f t="shared" si="2"/>
        <v>Low</v>
      </c>
      <c r="P73" s="4">
        <f t="shared" si="3"/>
        <v>17.260000000000002</v>
      </c>
    </row>
    <row r="74" spans="1:16" x14ac:dyDescent="0.3">
      <c r="A74" s="14" t="s">
        <v>275</v>
      </c>
      <c r="B74" s="14" t="s">
        <v>188</v>
      </c>
      <c r="C74" s="14" t="s">
        <v>180</v>
      </c>
      <c r="D74" s="14" t="s">
        <v>203</v>
      </c>
      <c r="E74" s="14">
        <v>9606169051</v>
      </c>
      <c r="F74" s="14" t="s">
        <v>15</v>
      </c>
      <c r="G74" s="14" t="s">
        <v>17</v>
      </c>
      <c r="H74" s="14">
        <v>1441.79</v>
      </c>
      <c r="I74" s="14">
        <v>14</v>
      </c>
      <c r="J74" s="14">
        <v>3929.03</v>
      </c>
      <c r="K74" s="14" t="s">
        <v>217</v>
      </c>
      <c r="L74" s="14">
        <v>20185.060000000001</v>
      </c>
      <c r="M74" s="15" t="s">
        <v>184</v>
      </c>
      <c r="N74" s="14">
        <v>19.47</v>
      </c>
      <c r="O74" s="4" t="str">
        <f t="shared" si="2"/>
        <v>High</v>
      </c>
      <c r="P74" s="4">
        <f t="shared" si="3"/>
        <v>19.47</v>
      </c>
    </row>
    <row r="75" spans="1:16" x14ac:dyDescent="0.3">
      <c r="A75" s="14" t="s">
        <v>276</v>
      </c>
      <c r="B75" s="14" t="s">
        <v>210</v>
      </c>
      <c r="C75" s="14" t="s">
        <v>180</v>
      </c>
      <c r="D75" s="14" t="s">
        <v>207</v>
      </c>
      <c r="E75" s="14">
        <v>9350461925</v>
      </c>
      <c r="F75" s="14" t="s">
        <v>15</v>
      </c>
      <c r="G75" s="14" t="s">
        <v>232</v>
      </c>
      <c r="H75" s="14">
        <v>686.64</v>
      </c>
      <c r="I75" s="14">
        <v>8</v>
      </c>
      <c r="J75" s="14">
        <v>878.07</v>
      </c>
      <c r="K75" s="14" t="s">
        <v>41</v>
      </c>
      <c r="L75" s="14">
        <v>5493.12</v>
      </c>
      <c r="M75" s="15" t="s">
        <v>195</v>
      </c>
      <c r="N75" s="14">
        <v>15.98</v>
      </c>
      <c r="O75" s="4" t="str">
        <f t="shared" si="2"/>
        <v>Medium</v>
      </c>
      <c r="P75" s="4">
        <f t="shared" si="3"/>
        <v>15.98</v>
      </c>
    </row>
    <row r="76" spans="1:16" x14ac:dyDescent="0.3">
      <c r="A76" s="14" t="s">
        <v>277</v>
      </c>
      <c r="B76" s="14" t="s">
        <v>179</v>
      </c>
      <c r="C76" s="14" t="s">
        <v>180</v>
      </c>
      <c r="D76" s="14" t="s">
        <v>189</v>
      </c>
      <c r="E76" s="14">
        <v>9996467468</v>
      </c>
      <c r="F76" s="14" t="s">
        <v>182</v>
      </c>
      <c r="G76" s="14" t="s">
        <v>60</v>
      </c>
      <c r="H76" s="14">
        <v>2830.64</v>
      </c>
      <c r="I76" s="14">
        <v>6</v>
      </c>
      <c r="J76" s="14">
        <v>1830.75</v>
      </c>
      <c r="K76" s="14" t="s">
        <v>41</v>
      </c>
      <c r="L76" s="14">
        <v>16983.84</v>
      </c>
      <c r="M76" s="15" t="s">
        <v>184</v>
      </c>
      <c r="N76" s="14">
        <v>10.78</v>
      </c>
      <c r="O76" s="4" t="str">
        <f t="shared" si="2"/>
        <v>High</v>
      </c>
      <c r="P76" s="4">
        <f t="shared" si="3"/>
        <v>10.78</v>
      </c>
    </row>
    <row r="77" spans="1:16" x14ac:dyDescent="0.3">
      <c r="A77" s="14" t="s">
        <v>278</v>
      </c>
      <c r="B77" s="14" t="s">
        <v>179</v>
      </c>
      <c r="C77" s="14" t="s">
        <v>180</v>
      </c>
      <c r="D77" s="14" t="s">
        <v>207</v>
      </c>
      <c r="E77" s="14">
        <v>9128345710</v>
      </c>
      <c r="F77" s="14" t="s">
        <v>6</v>
      </c>
      <c r="G77" s="14" t="s">
        <v>26</v>
      </c>
      <c r="H77" s="14">
        <v>2619.08</v>
      </c>
      <c r="I77" s="14">
        <v>6</v>
      </c>
      <c r="J77" s="14">
        <v>4245.2299999999996</v>
      </c>
      <c r="K77" s="14" t="s">
        <v>186</v>
      </c>
      <c r="L77" s="14">
        <v>15714.48</v>
      </c>
      <c r="M77" s="15" t="s">
        <v>184</v>
      </c>
      <c r="N77" s="14">
        <v>27.01</v>
      </c>
      <c r="O77" s="4" t="str">
        <f t="shared" si="2"/>
        <v>High</v>
      </c>
      <c r="P77" s="4">
        <f t="shared" si="3"/>
        <v>27.01</v>
      </c>
    </row>
    <row r="78" spans="1:16" x14ac:dyDescent="0.3">
      <c r="A78" s="14" t="s">
        <v>279</v>
      </c>
      <c r="B78" s="14" t="s">
        <v>199</v>
      </c>
      <c r="C78" s="14" t="s">
        <v>180</v>
      </c>
      <c r="D78" s="14" t="s">
        <v>205</v>
      </c>
      <c r="E78" s="14">
        <v>9392055351</v>
      </c>
      <c r="F78" s="14" t="s">
        <v>182</v>
      </c>
      <c r="G78" s="14" t="s">
        <v>53</v>
      </c>
      <c r="H78" s="14">
        <v>503.93</v>
      </c>
      <c r="I78" s="14">
        <v>11</v>
      </c>
      <c r="J78" s="14">
        <v>1183.48</v>
      </c>
      <c r="K78" s="14" t="s">
        <v>194</v>
      </c>
      <c r="L78" s="14">
        <v>5543.23</v>
      </c>
      <c r="M78" s="15" t="s">
        <v>195</v>
      </c>
      <c r="N78" s="14">
        <v>21.35</v>
      </c>
      <c r="O78" s="4" t="str">
        <f t="shared" si="2"/>
        <v>Medium</v>
      </c>
      <c r="P78" s="4">
        <f t="shared" si="3"/>
        <v>21.35</v>
      </c>
    </row>
    <row r="79" spans="1:16" x14ac:dyDescent="0.3">
      <c r="A79" s="14" t="s">
        <v>280</v>
      </c>
      <c r="B79" s="14" t="s">
        <v>188</v>
      </c>
      <c r="C79" s="14" t="s">
        <v>180</v>
      </c>
      <c r="D79" s="14" t="s">
        <v>200</v>
      </c>
      <c r="E79" s="14">
        <v>9980141994</v>
      </c>
      <c r="F79" s="14" t="s">
        <v>15</v>
      </c>
      <c r="G79" s="14" t="s">
        <v>99</v>
      </c>
      <c r="H79" s="14">
        <v>467.71</v>
      </c>
      <c r="I79" s="14">
        <v>12</v>
      </c>
      <c r="J79" s="14">
        <v>1223.23</v>
      </c>
      <c r="K79" s="14" t="s">
        <v>41</v>
      </c>
      <c r="L79" s="14">
        <v>5612.52</v>
      </c>
      <c r="M79" s="15" t="s">
        <v>195</v>
      </c>
      <c r="N79" s="14">
        <v>21.79</v>
      </c>
      <c r="O79" s="4" t="str">
        <f t="shared" si="2"/>
        <v>Medium</v>
      </c>
      <c r="P79" s="4">
        <f t="shared" si="3"/>
        <v>21.79</v>
      </c>
    </row>
    <row r="80" spans="1:16" x14ac:dyDescent="0.3">
      <c r="A80" s="14" t="s">
        <v>281</v>
      </c>
      <c r="B80" s="14" t="s">
        <v>179</v>
      </c>
      <c r="C80" s="14" t="s">
        <v>180</v>
      </c>
      <c r="D80" s="14" t="s">
        <v>203</v>
      </c>
      <c r="E80" s="14">
        <v>9403999543</v>
      </c>
      <c r="F80" s="14" t="s">
        <v>15</v>
      </c>
      <c r="G80" s="14" t="s">
        <v>14</v>
      </c>
      <c r="H80" s="14">
        <v>2307.34</v>
      </c>
      <c r="I80" s="14">
        <v>14</v>
      </c>
      <c r="J80" s="14">
        <v>3571.15</v>
      </c>
      <c r="K80" s="14" t="s">
        <v>217</v>
      </c>
      <c r="L80" s="14">
        <v>32302.76</v>
      </c>
      <c r="M80" s="15" t="s">
        <v>184</v>
      </c>
      <c r="N80" s="14">
        <v>11.06</v>
      </c>
      <c r="O80" s="4" t="str">
        <f t="shared" si="2"/>
        <v>High</v>
      </c>
      <c r="P80" s="4">
        <f t="shared" si="3"/>
        <v>11.06</v>
      </c>
    </row>
    <row r="81" spans="1:16" x14ac:dyDescent="0.3">
      <c r="A81" s="14" t="s">
        <v>282</v>
      </c>
      <c r="B81" s="14" t="s">
        <v>210</v>
      </c>
      <c r="C81" s="14" t="s">
        <v>180</v>
      </c>
      <c r="D81" s="14" t="s">
        <v>219</v>
      </c>
      <c r="E81" s="14">
        <v>9164427200</v>
      </c>
      <c r="F81" s="14" t="s">
        <v>6</v>
      </c>
      <c r="G81" s="14" t="s">
        <v>95</v>
      </c>
      <c r="H81" s="14">
        <v>1513.57</v>
      </c>
      <c r="I81" s="14">
        <v>14</v>
      </c>
      <c r="J81" s="16">
        <v>5761.18</v>
      </c>
      <c r="K81" s="14" t="s">
        <v>41</v>
      </c>
      <c r="L81" s="14">
        <v>21189.98</v>
      </c>
      <c r="M81" s="15" t="s">
        <v>184</v>
      </c>
      <c r="N81" s="14">
        <v>27.19</v>
      </c>
      <c r="O81" s="4" t="str">
        <f t="shared" si="2"/>
        <v>High</v>
      </c>
      <c r="P81" s="4">
        <f t="shared" si="3"/>
        <v>27.19</v>
      </c>
    </row>
    <row r="82" spans="1:16" x14ac:dyDescent="0.3">
      <c r="A82" s="14" t="s">
        <v>283</v>
      </c>
      <c r="B82" s="14" t="s">
        <v>210</v>
      </c>
      <c r="C82" s="14" t="s">
        <v>180</v>
      </c>
      <c r="D82" s="14" t="s">
        <v>203</v>
      </c>
      <c r="E82" s="17">
        <v>858947</v>
      </c>
      <c r="F82" s="14" t="s">
        <v>15</v>
      </c>
      <c r="G82" s="14" t="s">
        <v>232</v>
      </c>
      <c r="H82" s="14">
        <v>2213.4499999999998</v>
      </c>
      <c r="I82" s="14">
        <v>3</v>
      </c>
      <c r="J82" s="14">
        <v>867.33</v>
      </c>
      <c r="K82" s="14" t="s">
        <v>217</v>
      </c>
      <c r="L82" s="14">
        <v>6640.35</v>
      </c>
      <c r="M82" s="15" t="s">
        <v>195</v>
      </c>
      <c r="N82" s="14">
        <v>13.06</v>
      </c>
      <c r="O82" s="4" t="str">
        <f t="shared" si="2"/>
        <v>Medium</v>
      </c>
      <c r="P82" s="4">
        <f t="shared" si="3"/>
        <v>13.06</v>
      </c>
    </row>
    <row r="83" spans="1:16" x14ac:dyDescent="0.3">
      <c r="A83" s="14" t="s">
        <v>284</v>
      </c>
      <c r="B83" s="14" t="s">
        <v>188</v>
      </c>
      <c r="C83" s="14" t="s">
        <v>180</v>
      </c>
      <c r="D83" s="14" t="s">
        <v>200</v>
      </c>
      <c r="E83" s="14">
        <v>9789825611</v>
      </c>
      <c r="F83" s="14" t="s">
        <v>182</v>
      </c>
      <c r="G83" s="14" t="s">
        <v>60</v>
      </c>
      <c r="H83" s="14">
        <v>384.21</v>
      </c>
      <c r="I83" s="14">
        <v>5</v>
      </c>
      <c r="J83" s="14">
        <v>354.16</v>
      </c>
      <c r="K83" s="14" t="s">
        <v>217</v>
      </c>
      <c r="L83" s="14">
        <v>1921.05</v>
      </c>
      <c r="M83" s="15" t="s">
        <v>191</v>
      </c>
      <c r="N83" s="14">
        <v>18.440000000000001</v>
      </c>
      <c r="O83" s="4" t="str">
        <f t="shared" si="2"/>
        <v>Low</v>
      </c>
      <c r="P83" s="4">
        <f t="shared" si="3"/>
        <v>18.440000000000001</v>
      </c>
    </row>
    <row r="84" spans="1:16" x14ac:dyDescent="0.3">
      <c r="A84" s="14" t="s">
        <v>285</v>
      </c>
      <c r="B84" s="14" t="s">
        <v>199</v>
      </c>
      <c r="C84" s="14" t="s">
        <v>180</v>
      </c>
      <c r="D84" s="14" t="s">
        <v>203</v>
      </c>
      <c r="E84" s="14">
        <v>9371462183</v>
      </c>
      <c r="F84" s="14" t="s">
        <v>6</v>
      </c>
      <c r="G84" s="14" t="s">
        <v>26</v>
      </c>
      <c r="H84" s="14">
        <v>498.41</v>
      </c>
      <c r="I84" s="14">
        <v>7</v>
      </c>
      <c r="J84" s="14">
        <v>435.36</v>
      </c>
      <c r="K84" s="14" t="s">
        <v>56</v>
      </c>
      <c r="L84" s="14">
        <v>3488.87</v>
      </c>
      <c r="M84" s="15" t="s">
        <v>191</v>
      </c>
      <c r="N84" s="14">
        <v>12.48</v>
      </c>
      <c r="O84" s="4" t="str">
        <f t="shared" si="2"/>
        <v>Low</v>
      </c>
      <c r="P84" s="4">
        <f t="shared" si="3"/>
        <v>12.48</v>
      </c>
    </row>
    <row r="85" spans="1:16" x14ac:dyDescent="0.3">
      <c r="A85" s="14" t="s">
        <v>286</v>
      </c>
      <c r="B85" s="14" t="s">
        <v>210</v>
      </c>
      <c r="C85" s="14" t="s">
        <v>180</v>
      </c>
      <c r="D85" s="14" t="s">
        <v>203</v>
      </c>
      <c r="E85" s="14">
        <v>9444893207</v>
      </c>
      <c r="F85" s="14" t="s">
        <v>182</v>
      </c>
      <c r="G85" s="14" t="s">
        <v>60</v>
      </c>
      <c r="H85" s="14">
        <v>1599.24</v>
      </c>
      <c r="I85" s="14">
        <v>10</v>
      </c>
      <c r="J85" s="14">
        <v>4368.75</v>
      </c>
      <c r="K85" s="14" t="s">
        <v>56</v>
      </c>
      <c r="L85" s="14">
        <v>15992.4</v>
      </c>
      <c r="M85" s="15" t="s">
        <v>184</v>
      </c>
      <c r="N85" s="14">
        <v>27.32</v>
      </c>
      <c r="O85" s="4" t="str">
        <f t="shared" si="2"/>
        <v>High</v>
      </c>
      <c r="P85" s="4">
        <f t="shared" si="3"/>
        <v>27.32</v>
      </c>
    </row>
    <row r="86" spans="1:16" x14ac:dyDescent="0.3">
      <c r="A86" s="14" t="s">
        <v>287</v>
      </c>
      <c r="B86" s="14" t="s">
        <v>179</v>
      </c>
      <c r="C86" s="14" t="s">
        <v>180</v>
      </c>
      <c r="D86" s="14" t="s">
        <v>207</v>
      </c>
      <c r="E86" s="14">
        <v>9339358166</v>
      </c>
      <c r="F86" s="14" t="s">
        <v>15</v>
      </c>
      <c r="G86" s="14" t="s">
        <v>193</v>
      </c>
      <c r="H86" s="14">
        <v>962.07</v>
      </c>
      <c r="I86" s="14">
        <v>9</v>
      </c>
      <c r="J86" s="14">
        <v>905.89</v>
      </c>
      <c r="K86" s="14" t="s">
        <v>56</v>
      </c>
      <c r="L86" s="14">
        <v>8658.6299999999992</v>
      </c>
      <c r="M86" s="15" t="s">
        <v>195</v>
      </c>
      <c r="N86" s="14">
        <v>10.46</v>
      </c>
      <c r="O86" s="4" t="str">
        <f t="shared" si="2"/>
        <v>Medium</v>
      </c>
      <c r="P86" s="4">
        <f t="shared" si="3"/>
        <v>10.46</v>
      </c>
    </row>
    <row r="87" spans="1:16" x14ac:dyDescent="0.3">
      <c r="A87" s="14" t="s">
        <v>288</v>
      </c>
      <c r="B87" s="14" t="s">
        <v>179</v>
      </c>
      <c r="C87" s="14" t="s">
        <v>180</v>
      </c>
      <c r="D87" s="14" t="s">
        <v>189</v>
      </c>
      <c r="E87" s="14">
        <v>9119201960</v>
      </c>
      <c r="F87" s="14" t="s">
        <v>15</v>
      </c>
      <c r="G87" s="14" t="s">
        <v>99</v>
      </c>
      <c r="H87" s="14">
        <v>1673.22</v>
      </c>
      <c r="I87" s="14">
        <v>7</v>
      </c>
      <c r="J87" s="14">
        <v>1935.04</v>
      </c>
      <c r="K87" s="14" t="s">
        <v>217</v>
      </c>
      <c r="L87" s="14">
        <v>11712.54</v>
      </c>
      <c r="M87" s="15" t="s">
        <v>184</v>
      </c>
      <c r="N87" s="14">
        <v>16.52</v>
      </c>
      <c r="O87" s="4" t="str">
        <f t="shared" si="2"/>
        <v>Medium</v>
      </c>
      <c r="P87" s="4">
        <f t="shared" si="3"/>
        <v>16.52</v>
      </c>
    </row>
    <row r="88" spans="1:16" x14ac:dyDescent="0.3">
      <c r="A88" s="14" t="s">
        <v>289</v>
      </c>
      <c r="B88" s="14" t="s">
        <v>179</v>
      </c>
      <c r="C88" s="14" t="s">
        <v>180</v>
      </c>
      <c r="D88" s="14" t="s">
        <v>200</v>
      </c>
      <c r="E88" s="14">
        <v>9161700373</v>
      </c>
      <c r="F88" s="14" t="s">
        <v>182</v>
      </c>
      <c r="G88" s="14" t="s">
        <v>190</v>
      </c>
      <c r="H88" s="14">
        <v>791.24</v>
      </c>
      <c r="I88" s="14">
        <v>4</v>
      </c>
      <c r="J88" s="14">
        <v>366.17</v>
      </c>
      <c r="K88" s="14" t="s">
        <v>56</v>
      </c>
      <c r="L88" s="14">
        <v>3164.96</v>
      </c>
      <c r="M88" s="15" t="s">
        <v>191</v>
      </c>
      <c r="N88" s="14">
        <v>11.57</v>
      </c>
      <c r="O88" s="4" t="str">
        <f t="shared" si="2"/>
        <v>Low</v>
      </c>
      <c r="P88" s="4">
        <f t="shared" si="3"/>
        <v>11.57</v>
      </c>
    </row>
    <row r="89" spans="1:16" x14ac:dyDescent="0.3">
      <c r="A89" s="14" t="s">
        <v>290</v>
      </c>
      <c r="B89" s="14" t="s">
        <v>188</v>
      </c>
      <c r="C89" s="14" t="s">
        <v>180</v>
      </c>
      <c r="D89" s="14" t="s">
        <v>219</v>
      </c>
      <c r="E89" s="14">
        <v>9242580997</v>
      </c>
      <c r="F89" s="14" t="s">
        <v>182</v>
      </c>
      <c r="G89" s="14" t="s">
        <v>53</v>
      </c>
      <c r="H89" s="14">
        <v>1210.8599999999999</v>
      </c>
      <c r="I89" s="14">
        <v>3</v>
      </c>
      <c r="J89" s="14">
        <v>698.75</v>
      </c>
      <c r="K89" s="14" t="s">
        <v>56</v>
      </c>
      <c r="L89" s="14">
        <v>3632.58</v>
      </c>
      <c r="M89" s="15" t="s">
        <v>191</v>
      </c>
      <c r="N89" s="14">
        <v>19.239999999999998</v>
      </c>
      <c r="O89" s="4" t="str">
        <f t="shared" si="2"/>
        <v>Low</v>
      </c>
      <c r="P89" s="4">
        <f t="shared" si="3"/>
        <v>19.239999999999998</v>
      </c>
    </row>
    <row r="90" spans="1:16" x14ac:dyDescent="0.3">
      <c r="A90" s="14" t="s">
        <v>291</v>
      </c>
      <c r="B90" s="14" t="s">
        <v>210</v>
      </c>
      <c r="C90" s="14" t="s">
        <v>180</v>
      </c>
      <c r="D90" s="14" t="s">
        <v>205</v>
      </c>
      <c r="E90" s="14">
        <v>9370714466</v>
      </c>
      <c r="F90" s="14" t="s">
        <v>182</v>
      </c>
      <c r="G90" s="14" t="s">
        <v>190</v>
      </c>
      <c r="H90" s="14">
        <v>619.57000000000005</v>
      </c>
      <c r="I90" s="14">
        <v>7</v>
      </c>
      <c r="J90" s="14">
        <v>562.75</v>
      </c>
      <c r="K90" s="14" t="s">
        <v>56</v>
      </c>
      <c r="L90" s="14">
        <v>4336.99</v>
      </c>
      <c r="M90" s="15" t="s">
        <v>191</v>
      </c>
      <c r="N90" s="14">
        <v>12.98</v>
      </c>
      <c r="O90" s="4" t="str">
        <f t="shared" si="2"/>
        <v>Low</v>
      </c>
      <c r="P90" s="4">
        <f t="shared" si="3"/>
        <v>12.98</v>
      </c>
    </row>
    <row r="91" spans="1:16" x14ac:dyDescent="0.3">
      <c r="A91" s="14" t="s">
        <v>292</v>
      </c>
      <c r="B91" s="14" t="s">
        <v>179</v>
      </c>
      <c r="C91" s="14" t="s">
        <v>180</v>
      </c>
      <c r="D91" s="14" t="s">
        <v>203</v>
      </c>
      <c r="E91" s="14">
        <v>9427647839</v>
      </c>
      <c r="F91" s="14" t="s">
        <v>6</v>
      </c>
      <c r="G91" s="14" t="s">
        <v>214</v>
      </c>
      <c r="H91" s="14">
        <v>308.5</v>
      </c>
      <c r="I91" s="14">
        <v>15</v>
      </c>
      <c r="J91" s="14">
        <v>802.96</v>
      </c>
      <c r="K91" s="14" t="s">
        <v>41</v>
      </c>
      <c r="L91" s="14">
        <v>4627.5</v>
      </c>
      <c r="M91" s="15" t="s">
        <v>191</v>
      </c>
      <c r="N91" s="14">
        <v>17.350000000000001</v>
      </c>
      <c r="O91" s="4" t="str">
        <f t="shared" si="2"/>
        <v>Low</v>
      </c>
      <c r="P91" s="4">
        <f t="shared" si="3"/>
        <v>17.350000000000001</v>
      </c>
    </row>
    <row r="92" spans="1:16" x14ac:dyDescent="0.3">
      <c r="A92" s="14" t="s">
        <v>293</v>
      </c>
      <c r="B92" s="14" t="s">
        <v>199</v>
      </c>
      <c r="C92" s="14" t="s">
        <v>180</v>
      </c>
      <c r="D92" s="14" t="s">
        <v>203</v>
      </c>
      <c r="E92" s="14">
        <v>9942075195</v>
      </c>
      <c r="F92" s="14" t="s">
        <v>182</v>
      </c>
      <c r="G92" s="14" t="s">
        <v>60</v>
      </c>
      <c r="H92" s="14">
        <v>1853.37</v>
      </c>
      <c r="I92" s="14">
        <v>5</v>
      </c>
      <c r="J92" s="14">
        <v>1661.2</v>
      </c>
      <c r="K92" s="14" t="s">
        <v>41</v>
      </c>
      <c r="L92" s="14">
        <v>9266.85</v>
      </c>
      <c r="M92" s="15" t="s">
        <v>195</v>
      </c>
      <c r="N92" s="14">
        <v>17.93</v>
      </c>
      <c r="O92" s="4" t="str">
        <f t="shared" si="2"/>
        <v>Medium</v>
      </c>
      <c r="P92" s="4">
        <f t="shared" si="3"/>
        <v>17.93</v>
      </c>
    </row>
    <row r="93" spans="1:16" x14ac:dyDescent="0.3">
      <c r="A93" s="14" t="s">
        <v>294</v>
      </c>
      <c r="B93" s="14" t="s">
        <v>188</v>
      </c>
      <c r="C93" s="14" t="s">
        <v>180</v>
      </c>
      <c r="D93" s="14" t="s">
        <v>207</v>
      </c>
      <c r="E93" s="14">
        <v>9857569233</v>
      </c>
      <c r="F93" s="14" t="s">
        <v>182</v>
      </c>
      <c r="G93" s="14" t="s">
        <v>216</v>
      </c>
      <c r="H93" s="14">
        <v>2501.48</v>
      </c>
      <c r="I93" s="14">
        <v>6</v>
      </c>
      <c r="J93" s="14">
        <v>4142.5200000000004</v>
      </c>
      <c r="K93" s="14" t="s">
        <v>186</v>
      </c>
      <c r="L93" s="14">
        <v>15008.88</v>
      </c>
      <c r="M93" s="15" t="s">
        <v>184</v>
      </c>
      <c r="N93" s="14">
        <v>27.6</v>
      </c>
      <c r="O93" s="4" t="str">
        <f t="shared" si="2"/>
        <v>High</v>
      </c>
      <c r="P93" s="4">
        <f t="shared" si="3"/>
        <v>27.6</v>
      </c>
    </row>
    <row r="94" spans="1:16" x14ac:dyDescent="0.3">
      <c r="A94" s="14" t="s">
        <v>295</v>
      </c>
      <c r="B94" s="14" t="s">
        <v>188</v>
      </c>
      <c r="C94" s="14" t="s">
        <v>180</v>
      </c>
      <c r="D94" s="14" t="s">
        <v>181</v>
      </c>
      <c r="E94" s="14">
        <v>9944969047</v>
      </c>
      <c r="F94" s="14" t="s">
        <v>6</v>
      </c>
      <c r="G94" s="14" t="s">
        <v>5</v>
      </c>
      <c r="H94" s="14">
        <v>2596.13</v>
      </c>
      <c r="I94" s="14">
        <v>5</v>
      </c>
      <c r="J94" s="14">
        <v>1453.33</v>
      </c>
      <c r="K94" s="14" t="s">
        <v>186</v>
      </c>
      <c r="L94" s="14">
        <v>12980.65</v>
      </c>
      <c r="M94" s="15" t="s">
        <v>184</v>
      </c>
      <c r="N94" s="14">
        <v>11.2</v>
      </c>
      <c r="O94" s="4" t="str">
        <f t="shared" si="2"/>
        <v>Medium</v>
      </c>
      <c r="P94" s="4">
        <f t="shared" si="3"/>
        <v>11.2</v>
      </c>
    </row>
    <row r="95" spans="1:16" x14ac:dyDescent="0.3">
      <c r="A95" s="14" t="s">
        <v>296</v>
      </c>
      <c r="B95" s="14" t="s">
        <v>179</v>
      </c>
      <c r="C95" s="14" t="s">
        <v>180</v>
      </c>
      <c r="D95" s="14" t="s">
        <v>189</v>
      </c>
      <c r="E95" s="17">
        <v>56428436</v>
      </c>
      <c r="F95" s="14" t="s">
        <v>6</v>
      </c>
      <c r="G95" s="14" t="s">
        <v>26</v>
      </c>
      <c r="H95" s="14">
        <v>2209.52</v>
      </c>
      <c r="I95" s="14">
        <v>6</v>
      </c>
      <c r="J95" s="14">
        <v>3760.49</v>
      </c>
      <c r="K95" s="14" t="s">
        <v>186</v>
      </c>
      <c r="L95" s="14">
        <v>13257.12</v>
      </c>
      <c r="M95" s="15" t="s">
        <v>184</v>
      </c>
      <c r="N95" s="14">
        <v>28.37</v>
      </c>
      <c r="O95" s="4" t="str">
        <f t="shared" si="2"/>
        <v>Medium</v>
      </c>
      <c r="P95" s="4">
        <f t="shared" si="3"/>
        <v>28.37</v>
      </c>
    </row>
    <row r="96" spans="1:16" x14ac:dyDescent="0.3">
      <c r="A96" s="14" t="s">
        <v>297</v>
      </c>
      <c r="B96" s="14" t="s">
        <v>199</v>
      </c>
      <c r="C96" s="14" t="s">
        <v>180</v>
      </c>
      <c r="D96" s="14" t="s">
        <v>205</v>
      </c>
      <c r="E96" s="14">
        <v>9705241364</v>
      </c>
      <c r="F96" s="14" t="s">
        <v>15</v>
      </c>
      <c r="G96" s="14" t="s">
        <v>193</v>
      </c>
      <c r="H96" s="14">
        <v>458.7</v>
      </c>
      <c r="I96" s="14">
        <v>7</v>
      </c>
      <c r="J96" s="14">
        <v>839.97</v>
      </c>
      <c r="K96" s="14" t="s">
        <v>186</v>
      </c>
      <c r="L96" s="14">
        <v>3210.9</v>
      </c>
      <c r="M96" s="15" t="s">
        <v>191</v>
      </c>
      <c r="N96" s="14">
        <v>26.16</v>
      </c>
      <c r="O96" s="4" t="str">
        <f t="shared" si="2"/>
        <v>Low</v>
      </c>
      <c r="P96" s="4">
        <f t="shared" si="3"/>
        <v>26.16</v>
      </c>
    </row>
    <row r="97" spans="1:16" x14ac:dyDescent="0.3">
      <c r="A97" s="14" t="s">
        <v>298</v>
      </c>
      <c r="B97" s="14" t="s">
        <v>199</v>
      </c>
      <c r="C97" s="14" t="s">
        <v>180</v>
      </c>
      <c r="D97" s="14" t="s">
        <v>181</v>
      </c>
      <c r="E97" s="14">
        <v>9245776255</v>
      </c>
      <c r="F97" s="14" t="s">
        <v>182</v>
      </c>
      <c r="G97" s="14" t="s">
        <v>53</v>
      </c>
      <c r="H97" s="14">
        <v>833.16</v>
      </c>
      <c r="I97" s="14">
        <v>12</v>
      </c>
      <c r="J97" s="14">
        <v>2135.63</v>
      </c>
      <c r="K97" s="14" t="s">
        <v>186</v>
      </c>
      <c r="L97" s="14">
        <v>9997.92</v>
      </c>
      <c r="M97" s="15" t="s">
        <v>195</v>
      </c>
      <c r="N97" s="14">
        <v>21.36</v>
      </c>
      <c r="O97" s="4" t="str">
        <f t="shared" si="2"/>
        <v>Medium</v>
      </c>
      <c r="P97" s="4">
        <f t="shared" si="3"/>
        <v>21.36</v>
      </c>
    </row>
    <row r="98" spans="1:16" x14ac:dyDescent="0.3">
      <c r="A98" s="14" t="s">
        <v>299</v>
      </c>
      <c r="B98" s="14" t="s">
        <v>199</v>
      </c>
      <c r="C98" s="14" t="s">
        <v>180</v>
      </c>
      <c r="D98" s="14" t="s">
        <v>219</v>
      </c>
      <c r="E98" s="14">
        <v>9881212856</v>
      </c>
      <c r="F98" s="14" t="s">
        <v>182</v>
      </c>
      <c r="G98" s="14" t="s">
        <v>53</v>
      </c>
      <c r="H98" s="14">
        <v>238.37</v>
      </c>
      <c r="I98" s="14">
        <v>13</v>
      </c>
      <c r="J98" s="14">
        <v>586.94000000000005</v>
      </c>
      <c r="K98" s="14" t="s">
        <v>186</v>
      </c>
      <c r="L98" s="14">
        <v>3098.81</v>
      </c>
      <c r="M98" s="15" t="s">
        <v>191</v>
      </c>
      <c r="N98" s="14">
        <v>18.940000000000001</v>
      </c>
      <c r="O98" s="4" t="str">
        <f t="shared" si="2"/>
        <v>Low</v>
      </c>
      <c r="P98" s="4">
        <f t="shared" si="3"/>
        <v>18.940000000000001</v>
      </c>
    </row>
    <row r="99" spans="1:16" x14ac:dyDescent="0.3">
      <c r="A99" s="14" t="s">
        <v>300</v>
      </c>
      <c r="B99" s="14" t="s">
        <v>179</v>
      </c>
      <c r="C99" s="14" t="s">
        <v>180</v>
      </c>
      <c r="D99" s="14" t="s">
        <v>205</v>
      </c>
      <c r="E99" s="14">
        <v>9916091858</v>
      </c>
      <c r="F99" s="14" t="s">
        <v>182</v>
      </c>
      <c r="G99" s="14" t="s">
        <v>60</v>
      </c>
      <c r="H99" s="14">
        <v>820.05</v>
      </c>
      <c r="I99" s="14">
        <v>3</v>
      </c>
      <c r="J99" s="14">
        <v>419.41</v>
      </c>
      <c r="K99" s="14" t="s">
        <v>56</v>
      </c>
      <c r="L99" s="14">
        <v>2460.15</v>
      </c>
      <c r="M99" s="15" t="s">
        <v>191</v>
      </c>
      <c r="N99" s="14">
        <v>17.05</v>
      </c>
      <c r="O99" s="4" t="str">
        <f t="shared" si="2"/>
        <v>Low</v>
      </c>
      <c r="P99" s="4">
        <f t="shared" si="3"/>
        <v>17.05</v>
      </c>
    </row>
    <row r="100" spans="1:16" x14ac:dyDescent="0.3">
      <c r="A100" s="14" t="s">
        <v>301</v>
      </c>
      <c r="B100" s="14" t="s">
        <v>210</v>
      </c>
      <c r="C100" s="14" t="s">
        <v>180</v>
      </c>
      <c r="D100" s="14" t="s">
        <v>181</v>
      </c>
      <c r="E100" s="14">
        <v>9425191872</v>
      </c>
      <c r="F100" s="14" t="s">
        <v>6</v>
      </c>
      <c r="G100" s="14" t="s">
        <v>26</v>
      </c>
      <c r="H100" s="14">
        <v>2716.33</v>
      </c>
      <c r="I100" s="14">
        <v>8</v>
      </c>
      <c r="J100" s="16">
        <v>5513.14</v>
      </c>
      <c r="K100" s="14" t="s">
        <v>186</v>
      </c>
      <c r="L100" s="14">
        <v>21730.639999999999</v>
      </c>
      <c r="M100" s="15" t="s">
        <v>184</v>
      </c>
      <c r="N100" s="14">
        <v>25.37</v>
      </c>
      <c r="O100" s="4" t="str">
        <f t="shared" si="2"/>
        <v>High</v>
      </c>
      <c r="P100" s="4">
        <f t="shared" si="3"/>
        <v>25.37</v>
      </c>
    </row>
    <row r="101" spans="1:16" x14ac:dyDescent="0.3">
      <c r="A101" s="14" t="s">
        <v>302</v>
      </c>
      <c r="B101" s="14" t="s">
        <v>210</v>
      </c>
      <c r="C101" s="14" t="s">
        <v>180</v>
      </c>
      <c r="D101" s="14" t="s">
        <v>219</v>
      </c>
      <c r="E101" s="14">
        <v>9459337548</v>
      </c>
      <c r="F101" s="14" t="s">
        <v>182</v>
      </c>
      <c r="G101" s="14" t="s">
        <v>216</v>
      </c>
      <c r="H101" s="14">
        <v>1918.81</v>
      </c>
      <c r="I101" s="14">
        <v>1</v>
      </c>
      <c r="J101" s="14">
        <v>442.75</v>
      </c>
      <c r="K101" s="14" t="s">
        <v>194</v>
      </c>
      <c r="L101" s="14">
        <v>1918.81</v>
      </c>
      <c r="M101" s="15" t="s">
        <v>191</v>
      </c>
      <c r="N101" s="14">
        <v>23.07</v>
      </c>
      <c r="O101" s="4" t="str">
        <f t="shared" si="2"/>
        <v>Low</v>
      </c>
      <c r="P101" s="4">
        <f t="shared" si="3"/>
        <v>23.07</v>
      </c>
    </row>
  </sheetData>
  <conditionalFormatting sqref="A1:N101">
    <cfRule type="expression" priority="3">
      <formula>$J1048562&gt;5000</formula>
    </cfRule>
  </conditionalFormatting>
  <conditionalFormatting sqref="A1:XFD1048576">
    <cfRule type="expression" priority="2">
      <formula>$J1048572&gt;5000</formula>
    </cfRule>
  </conditionalFormatting>
  <conditionalFormatting sqref="J1:J101">
    <cfRule type="expression" priority="1">
      <formula>$J2&gt;5000</formula>
    </cfRule>
  </conditionalFormatting>
  <dataValidations count="1">
    <dataValidation type="whole" allowBlank="1" showInputMessage="1" showErrorMessage="1" sqref="I1:I101" xr:uid="{02A02D89-A82C-46E6-9C41-155193B0515D}">
      <formula1>1</formula1>
      <formula2>20</formula2>
    </dataValidation>
  </dataValidations>
  <pageMargins left="0.7" right="0.7" top="0.75" bottom="0.75" header="0.3" footer="0.3"/>
  <pageSetup paperSize="9" scale="4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E8B9-7647-4197-A816-88D01C7CF2EF}">
  <sheetPr codeName="Sheet6"/>
  <dimension ref="A1:F9"/>
  <sheetViews>
    <sheetView view="pageBreakPreview" zoomScale="60" zoomScaleNormal="100" workbookViewId="0">
      <selection activeCell="F34" sqref="F34"/>
    </sheetView>
  </sheetViews>
  <sheetFormatPr defaultRowHeight="14.4" x14ac:dyDescent="0.3"/>
  <cols>
    <col min="1" max="1" width="12.5546875" bestFit="1" customWidth="1"/>
    <col min="2" max="2" width="14.88671875" bestFit="1" customWidth="1"/>
    <col min="3" max="3" width="12.109375" bestFit="1" customWidth="1"/>
    <col min="5" max="5" width="12.5546875" bestFit="1" customWidth="1"/>
    <col min="6" max="6" width="16" bestFit="1" customWidth="1"/>
  </cols>
  <sheetData>
    <row r="1" spans="1:6" x14ac:dyDescent="0.3">
      <c r="A1" s="19" t="s">
        <v>309</v>
      </c>
      <c r="E1" s="19" t="s">
        <v>310</v>
      </c>
    </row>
    <row r="3" spans="1:6" x14ac:dyDescent="0.3">
      <c r="A3" s="18" t="s">
        <v>303</v>
      </c>
      <c r="B3" t="s">
        <v>306</v>
      </c>
      <c r="C3" t="s">
        <v>307</v>
      </c>
      <c r="E3" s="18" t="s">
        <v>303</v>
      </c>
      <c r="F3" t="s">
        <v>308</v>
      </c>
    </row>
    <row r="4" spans="1:6" x14ac:dyDescent="0.3">
      <c r="A4" s="3" t="s">
        <v>199</v>
      </c>
      <c r="B4">
        <v>304204.76999999996</v>
      </c>
      <c r="C4">
        <v>65576.37000000001</v>
      </c>
      <c r="E4" s="3" t="s">
        <v>182</v>
      </c>
      <c r="F4">
        <v>289</v>
      </c>
    </row>
    <row r="5" spans="1:6" x14ac:dyDescent="0.3">
      <c r="A5" s="3" t="s">
        <v>210</v>
      </c>
      <c r="B5">
        <v>290473.09000000003</v>
      </c>
      <c r="C5">
        <v>53496.26</v>
      </c>
      <c r="E5" s="3" t="s">
        <v>6</v>
      </c>
      <c r="F5">
        <v>211</v>
      </c>
    </row>
    <row r="6" spans="1:6" x14ac:dyDescent="0.3">
      <c r="A6" s="3" t="s">
        <v>188</v>
      </c>
      <c r="B6">
        <v>278867.12999999995</v>
      </c>
      <c r="C6">
        <v>52548.770000000004</v>
      </c>
      <c r="E6" s="3" t="s">
        <v>15</v>
      </c>
      <c r="F6">
        <v>264</v>
      </c>
    </row>
    <row r="7" spans="1:6" x14ac:dyDescent="0.3">
      <c r="A7" s="3" t="s">
        <v>179</v>
      </c>
      <c r="B7">
        <v>263623.37000000005</v>
      </c>
      <c r="C7">
        <v>53733.26999999999</v>
      </c>
      <c r="E7" s="3" t="s">
        <v>304</v>
      </c>
    </row>
    <row r="8" spans="1:6" x14ac:dyDescent="0.3">
      <c r="A8" s="3" t="s">
        <v>304</v>
      </c>
      <c r="E8" s="3" t="s">
        <v>305</v>
      </c>
      <c r="F8">
        <v>764</v>
      </c>
    </row>
    <row r="9" spans="1:6" x14ac:dyDescent="0.3">
      <c r="A9" s="3" t="s">
        <v>305</v>
      </c>
      <c r="B9">
        <v>1137168.3600000001</v>
      </c>
      <c r="C9">
        <v>225354.67</v>
      </c>
    </row>
  </sheetData>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question6</vt:lpstr>
      <vt:lpstr>q7</vt:lpstr>
      <vt:lpstr>question7</vt:lpstr>
      <vt:lpstr>question8</vt:lpstr>
      <vt:lpstr>question9</vt:lpstr>
      <vt:lpstr>question10</vt:lpstr>
      <vt:lpstr>q10</vt:lpstr>
      <vt:lpstr>question9!Print_Area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prasuk jain</dc:creator>
  <cp:lastModifiedBy>prasuk jain</cp:lastModifiedBy>
  <cp:lastPrinted>2026-01-08T07:34:29Z</cp:lastPrinted>
  <dcterms:created xsi:type="dcterms:W3CDTF">2026-01-07T16:01:39Z</dcterms:created>
  <dcterms:modified xsi:type="dcterms:W3CDTF">2026-01-08T07:47:38Z</dcterms:modified>
</cp:coreProperties>
</file>